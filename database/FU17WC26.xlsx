
<file path=[Content_Types].xml><?xml version="1.0" encoding="utf-8"?>
<Types xmlns="http://schemas.openxmlformats.org/package/2006/content-types">
  <Default Extension="08d481ce2e6378c8b3492a5438438208" ContentType="image/jpeg"/>
  <Default Extension="0b6525ec30df41018acbac53e2de0e2e" ContentType="image/jpeg"/>
  <Default Extension="0e6c478df6cde6a6638a941604998dae" ContentType="image/jpeg"/>
  <Default Extension="1483d9801bc2b6587105b86a471decb1" ContentType="image/jpeg"/>
  <Default Extension="199471a1ecd96d075745c3a5a59b289e" ContentType="image/jpeg"/>
  <Default Extension="1edc269d232791835391410ad86aef09" ContentType="image/jpeg"/>
  <Default Extension="1Z6krRkiRxZU6LE5" ContentType="image/jpeg"/>
  <Default Extension="37868521ec6f61afb97b5ab07c93e834" ContentType="image/jpeg"/>
  <Default Extension="380316b6ec7e3f5c2fadae3206181af4" ContentType="image/jpeg"/>
  <Default Extension="3d1f7cdd2e4b04d7d59c9c2070509b97" ContentType="image/jpeg"/>
  <Default Extension="45468b20d1a6bac3d3c1ed00258ea889" ContentType="image/jpeg"/>
  <Default Extension="4b54a773b13f1918eeb48f0792a7914b" ContentType="image/jpeg"/>
  <Default Extension="52016c7e71aae8fe94202de7db44aaae" ContentType="image/jpeg"/>
  <Default Extension="55e18930b9f4f69172095b7b3b0671f6" ContentType="image/jpeg"/>
  <Default Extension="58796590f9e17930a0a2840f3c535e25" ContentType="image/jpeg"/>
  <Default Extension="6d045ff0fc33a1c5f73e9eee1111d044" ContentType="image/jpeg"/>
  <Default Extension="79603601c02fb12e2ae6810717b92274" ContentType="image/jpeg"/>
  <Default Extension="79dcfcb50bb489b9abd805e3a32b4d69" ContentType="image/jpeg"/>
  <Default Extension="7ea08d999100e33f03f970c4c3a5b798" ContentType="image/jpeg"/>
  <Default Extension="88c1f5be841e4632efc4c814214a60a8" ContentType="image/jpeg"/>
  <Default Extension="8zn8I87SMZQID1yeREa5ylZshLmieZDX" ContentType="image/jpeg"/>
  <Default Extension="909e75f79c08029f7d3305071d2c5b94" ContentType="image/jpeg"/>
  <Default Extension="9131f9cc50427b26d6b4964a5feb9d7e" ContentType="image/jpeg"/>
  <Default Extension="94086dce43b799884caf1b5baa7e59d4" ContentType="image/jpeg"/>
  <Default Extension="97b5f0752136838ad1c191dacb8c1eaf" ContentType="image/jpeg"/>
  <Default Extension="99c446a14ed3da5ff3816aa56e039c42" ContentType="image/jpeg"/>
  <Default Extension="9b58152305f4db6c85bc2212a0818370" ContentType="image/jpeg"/>
  <Default Extension="a018667e848b997406b0f100e728e406" ContentType="image/jpeg"/>
  <Default Extension="a63573e184a1dd6a203fecd8090ad2ed" ContentType="image/jpeg"/>
  <Default Extension="b4fa71228a5f45a8646dbfa3d79d8f51" ContentType="image/jpeg"/>
  <Default Extension="b6a5970ae3dca3a8d37948add590bac6" ContentType="image/jpeg"/>
  <Default Extension="bed9fc3690f3414a4850855fee332f1c" ContentType="image/jpeg"/>
  <Default Extension="c487ba4ced6ceb655b94fb1585b38896" ContentType="image/jpeg"/>
  <Default Extension="cd87a340e69c67ee5da36d9903955518" ContentType="image/jpeg"/>
  <Default Extension="ced05ad7f720b03979b07bac539097c8" ContentType="image/jpeg"/>
  <Default Extension="cf17e786b97fde4860ff0b98a404701f" ContentType="image/jpeg"/>
  <Default Extension="dQRnOlTKTXrhKm9OaxUUVBGNjKK1hL9mKy8jDit9INI" ContentType="image/jpeg"/>
  <Default Extension="e361089b50440849361002f9124948e5" ContentType="image/jpeg"/>
  <Default Extension="EaGKENylPymKR2vxwyKFWGRGtGNcLXtM8meCLdtsfYI" ContentType="image/jpeg"/>
  <Default Extension="fbb71d5e592f7fda00cf81328e03b81f" ContentType="image/jpeg"/>
  <Default Extension="gJeCTvNOFIBVadKJtyVRcViTN1SUrr5tzlDNF8aH4ko" ContentType="image/jpeg"/>
  <Default Extension="IJoB2IAflCzjheZJfaz5mfzEWw5jRcoWEgDQz1yU2Yk" ContentType="image/jpeg"/>
  <Default Extension="mTs9AdlNDLziaMN3BIhJpWCGZaOOUwqIR2jN3FJEeTw" ContentType="image/jpeg"/>
  <Default Extension="rels" ContentType="application/vnd.openxmlformats-package.relationships+xml"/>
  <Default Extension="TKPSvA" ContentType="image/jpeg"/>
  <Default Extension="xml" ContentType="application/xml"/>
  <Default Extension="XTXAbE7wxDFfjCw" ContentType="image/jpeg"/>
  <Default Extension="ymB" ContentType="image/jpeg"/>
  <Default Extension="YyStd3n6FeCyDWZVKn54i8IqezKRsFpq7XThd1PUiDk" ContentType="image/jpeg"/>
  <Default Extension="ZoOnHeOqJlWtOexBgzWQAb3Tidw4VEw6vIATmETUcGA"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laragon\www\lmsx\docs\"/>
    </mc:Choice>
  </mc:AlternateContent>
  <xr:revisionPtr revIDLastSave="0" documentId="13_ncr:1_{C1F48801-F9AE-4472-9F89-989C88CDDA74}" xr6:coauthVersionLast="47" xr6:coauthVersionMax="47" xr10:uidLastSave="{00000000-0000-0000-0000-000000000000}"/>
  <bookViews>
    <workbookView xWindow="-28920" yWindow="-1740" windowWidth="29040" windowHeight="17520" xr2:uid="{865623C7-C482-453C-A35C-75714B1A56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0" i="1" l="1" a="1"/>
  <c r="D50" i="1" s="1"/>
  <c r="D49" i="1" a="1"/>
  <c r="D49" i="1" s="1"/>
  <c r="D48" i="1" a="1"/>
  <c r="D48" i="1" s="1"/>
  <c r="D47" i="1" a="1"/>
  <c r="D47" i="1" s="1"/>
  <c r="D46" i="1" a="1"/>
  <c r="D46" i="1" s="1"/>
  <c r="D45" i="1" a="1"/>
  <c r="D45" i="1" s="1"/>
  <c r="D44" i="1" a="1"/>
  <c r="D44" i="1" s="1"/>
  <c r="D43" i="1" a="1"/>
  <c r="D43" i="1" s="1"/>
  <c r="D42" i="1" a="1"/>
  <c r="D42" i="1" s="1"/>
  <c r="D41" i="1" a="1"/>
  <c r="D41" i="1" s="1"/>
  <c r="D40" i="1" a="1"/>
  <c r="D40" i="1" s="1"/>
  <c r="D39" i="1" a="1"/>
  <c r="D39" i="1" s="1"/>
  <c r="D38" i="1" a="1"/>
  <c r="D38" i="1" s="1"/>
  <c r="D37" i="1" a="1"/>
  <c r="D37" i="1" s="1"/>
  <c r="D36" i="1" a="1"/>
  <c r="D36" i="1" s="1"/>
  <c r="D35" i="1" a="1"/>
  <c r="D35" i="1" s="1"/>
  <c r="D34" i="1" a="1"/>
  <c r="D34" i="1" s="1"/>
  <c r="D33" i="1" a="1"/>
  <c r="D33" i="1" s="1"/>
  <c r="T32" i="1"/>
  <c r="D32" i="1" a="1"/>
  <c r="D32" i="1" s="1"/>
  <c r="D31" i="1" a="1"/>
  <c r="D31" i="1" s="1"/>
  <c r="D30" i="1" a="1"/>
  <c r="D30" i="1" s="1"/>
  <c r="D29" i="1" a="1"/>
  <c r="D29" i="1" s="1"/>
  <c r="D28" i="1" a="1"/>
  <c r="D28" i="1" s="1"/>
  <c r="T27" i="1"/>
  <c r="D27" i="1" a="1"/>
  <c r="D27" i="1" s="1"/>
  <c r="D26" i="1" a="1"/>
  <c r="D26" i="1" s="1"/>
  <c r="D25" i="1" a="1"/>
  <c r="D25" i="1" s="1"/>
  <c r="D24" i="1" a="1"/>
  <c r="D24" i="1" s="1"/>
  <c r="D23" i="1" a="1"/>
  <c r="D23" i="1" s="1"/>
  <c r="D22" i="1" a="1"/>
  <c r="D22" i="1" s="1"/>
  <c r="D21" i="1" a="1"/>
  <c r="D21" i="1" s="1"/>
  <c r="T20" i="1"/>
  <c r="D20" i="1" a="1"/>
  <c r="D20" i="1" s="1"/>
  <c r="D19" i="1" a="1"/>
  <c r="D19" i="1" s="1"/>
  <c r="D18" i="1" a="1"/>
  <c r="D18" i="1" s="1"/>
  <c r="D17" i="1" a="1"/>
  <c r="D17" i="1" s="1"/>
  <c r="D16" i="1" a="1"/>
  <c r="D16" i="1" s="1"/>
  <c r="T15" i="1"/>
  <c r="D15" i="1" a="1"/>
  <c r="D15" i="1" s="1"/>
  <c r="D14" i="1" a="1"/>
  <c r="D14" i="1" s="1"/>
  <c r="T13" i="1"/>
  <c r="D13" i="1" a="1"/>
  <c r="D13" i="1" s="1"/>
  <c r="D12" i="1" a="1"/>
  <c r="D12" i="1" s="1"/>
  <c r="D11" i="1" a="1"/>
  <c r="D11" i="1" s="1"/>
  <c r="T10" i="1"/>
  <c r="D10" i="1" a="1"/>
  <c r="D10" i="1" s="1"/>
  <c r="D9" i="1" a="1"/>
  <c r="D9" i="1" s="1"/>
  <c r="D8" i="1" a="1"/>
  <c r="D8" i="1" s="1"/>
  <c r="D7" i="1" a="1"/>
  <c r="D7" i="1" s="1"/>
  <c r="D6" i="1" a="1"/>
  <c r="D6" i="1" s="1"/>
  <c r="D5" i="1" a="1"/>
  <c r="D5" i="1" s="1"/>
  <c r="T4" i="1"/>
  <c r="D4" i="1" a="1"/>
  <c r="D4" i="1" s="1"/>
  <c r="D3" i="1" a="1"/>
  <c r="D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6">
    <bk>
      <extLst>
        <ext uri="{3e2802c4-a4d2-4d8b-9148-e3be6c30e623}">
          <xlrd:rvb i="0"/>
        </ext>
      </extLst>
    </bk>
    <bk>
      <extLst>
        <ext uri="{3e2802c4-a4d2-4d8b-9148-e3be6c30e623}">
          <xlrd:rvb i="74"/>
        </ext>
      </extLst>
    </bk>
    <bk>
      <extLst>
        <ext uri="{3e2802c4-a4d2-4d8b-9148-e3be6c30e623}">
          <xlrd:rvb i="75"/>
        </ext>
      </extLst>
    </bk>
    <bk>
      <extLst>
        <ext uri="{3e2802c4-a4d2-4d8b-9148-e3be6c30e623}">
          <xlrd:rvb i="134"/>
        </ext>
      </extLst>
    </bk>
    <bk>
      <extLst>
        <ext uri="{3e2802c4-a4d2-4d8b-9148-e3be6c30e623}">
          <xlrd:rvb i="135"/>
        </ext>
      </extLst>
    </bk>
    <bk>
      <extLst>
        <ext uri="{3e2802c4-a4d2-4d8b-9148-e3be6c30e623}">
          <xlrd:rvb i="194"/>
        </ext>
      </extLst>
    </bk>
    <bk>
      <extLst>
        <ext uri="{3e2802c4-a4d2-4d8b-9148-e3be6c30e623}">
          <xlrd:rvb i="195"/>
        </ext>
      </extLst>
    </bk>
    <bk>
      <extLst>
        <ext uri="{3e2802c4-a4d2-4d8b-9148-e3be6c30e623}">
          <xlrd:rvb i="240"/>
        </ext>
      </extLst>
    </bk>
    <bk>
      <extLst>
        <ext uri="{3e2802c4-a4d2-4d8b-9148-e3be6c30e623}">
          <xlrd:rvb i="241"/>
        </ext>
      </extLst>
    </bk>
    <bk>
      <extLst>
        <ext uri="{3e2802c4-a4d2-4d8b-9148-e3be6c30e623}">
          <xlrd:rvb i="309"/>
        </ext>
      </extLst>
    </bk>
    <bk>
      <extLst>
        <ext uri="{3e2802c4-a4d2-4d8b-9148-e3be6c30e623}">
          <xlrd:rvb i="310"/>
        </ext>
      </extLst>
    </bk>
    <bk>
      <extLst>
        <ext uri="{3e2802c4-a4d2-4d8b-9148-e3be6c30e623}">
          <xlrd:rvb i="373"/>
        </ext>
      </extLst>
    </bk>
    <bk>
      <extLst>
        <ext uri="{3e2802c4-a4d2-4d8b-9148-e3be6c30e623}">
          <xlrd:rvb i="374"/>
        </ext>
      </extLst>
    </bk>
    <bk>
      <extLst>
        <ext uri="{3e2802c4-a4d2-4d8b-9148-e3be6c30e623}">
          <xlrd:rvb i="432"/>
        </ext>
      </extLst>
    </bk>
    <bk>
      <extLst>
        <ext uri="{3e2802c4-a4d2-4d8b-9148-e3be6c30e623}">
          <xlrd:rvb i="433"/>
        </ext>
      </extLst>
    </bk>
    <bk>
      <extLst>
        <ext uri="{3e2802c4-a4d2-4d8b-9148-e3be6c30e623}">
          <xlrd:rvb i="590"/>
        </ext>
      </extLst>
    </bk>
    <bk>
      <extLst>
        <ext uri="{3e2802c4-a4d2-4d8b-9148-e3be6c30e623}">
          <xlrd:rvb i="591"/>
        </ext>
      </extLst>
    </bk>
    <bk>
      <extLst>
        <ext uri="{3e2802c4-a4d2-4d8b-9148-e3be6c30e623}">
          <xlrd:rvb i="660"/>
        </ext>
      </extLst>
    </bk>
    <bk>
      <extLst>
        <ext uri="{3e2802c4-a4d2-4d8b-9148-e3be6c30e623}">
          <xlrd:rvb i="661"/>
        </ext>
      </extLst>
    </bk>
    <bk>
      <extLst>
        <ext uri="{3e2802c4-a4d2-4d8b-9148-e3be6c30e623}">
          <xlrd:rvb i="724"/>
        </ext>
      </extLst>
    </bk>
    <bk>
      <extLst>
        <ext uri="{3e2802c4-a4d2-4d8b-9148-e3be6c30e623}">
          <xlrd:rvb i="725"/>
        </ext>
      </extLst>
    </bk>
    <bk>
      <extLst>
        <ext uri="{3e2802c4-a4d2-4d8b-9148-e3be6c30e623}">
          <xlrd:rvb i="774"/>
        </ext>
      </extLst>
    </bk>
    <bk>
      <extLst>
        <ext uri="{3e2802c4-a4d2-4d8b-9148-e3be6c30e623}">
          <xlrd:rvb i="775"/>
        </ext>
      </extLst>
    </bk>
    <bk>
      <extLst>
        <ext uri="{3e2802c4-a4d2-4d8b-9148-e3be6c30e623}">
          <xlrd:rvb i="830"/>
        </ext>
      </extLst>
    </bk>
    <bk>
      <extLst>
        <ext uri="{3e2802c4-a4d2-4d8b-9148-e3be6c30e623}">
          <xlrd:rvb i="831"/>
        </ext>
      </extLst>
    </bk>
    <bk>
      <extLst>
        <ext uri="{3e2802c4-a4d2-4d8b-9148-e3be6c30e623}">
          <xlrd:rvb i="897"/>
        </ext>
      </extLst>
    </bk>
    <bk>
      <extLst>
        <ext uri="{3e2802c4-a4d2-4d8b-9148-e3be6c30e623}">
          <xlrd:rvb i="898"/>
        </ext>
      </extLst>
    </bk>
    <bk>
      <extLst>
        <ext uri="{3e2802c4-a4d2-4d8b-9148-e3be6c30e623}">
          <xlrd:rvb i="950"/>
        </ext>
      </extLst>
    </bk>
    <bk>
      <extLst>
        <ext uri="{3e2802c4-a4d2-4d8b-9148-e3be6c30e623}">
          <xlrd:rvb i="951"/>
        </ext>
      </extLst>
    </bk>
    <bk>
      <extLst>
        <ext uri="{3e2802c4-a4d2-4d8b-9148-e3be6c30e623}">
          <xlrd:rvb i="1001"/>
        </ext>
      </extLst>
    </bk>
    <bk>
      <extLst>
        <ext uri="{3e2802c4-a4d2-4d8b-9148-e3be6c30e623}">
          <xlrd:rvb i="1002"/>
        </ext>
      </extLst>
    </bk>
    <bk>
      <extLst>
        <ext uri="{3e2802c4-a4d2-4d8b-9148-e3be6c30e623}">
          <xlrd:rvb i="1066"/>
        </ext>
      </extLst>
    </bk>
    <bk>
      <extLst>
        <ext uri="{3e2802c4-a4d2-4d8b-9148-e3be6c30e623}">
          <xlrd:rvb i="1067"/>
        </ext>
      </extLst>
    </bk>
    <bk>
      <extLst>
        <ext uri="{3e2802c4-a4d2-4d8b-9148-e3be6c30e623}">
          <xlrd:rvb i="1112"/>
        </ext>
      </extLst>
    </bk>
    <bk>
      <extLst>
        <ext uri="{3e2802c4-a4d2-4d8b-9148-e3be6c30e623}">
          <xlrd:rvb i="1113"/>
        </ext>
      </extLst>
    </bk>
    <bk>
      <extLst>
        <ext uri="{3e2802c4-a4d2-4d8b-9148-e3be6c30e623}">
          <xlrd:rvb i="1176"/>
        </ext>
      </extLst>
    </bk>
    <bk>
      <extLst>
        <ext uri="{3e2802c4-a4d2-4d8b-9148-e3be6c30e623}">
          <xlrd:rvb i="1177"/>
        </ext>
      </extLst>
    </bk>
    <bk>
      <extLst>
        <ext uri="{3e2802c4-a4d2-4d8b-9148-e3be6c30e623}">
          <xlrd:rvb i="1222"/>
        </ext>
      </extLst>
    </bk>
    <bk>
      <extLst>
        <ext uri="{3e2802c4-a4d2-4d8b-9148-e3be6c30e623}">
          <xlrd:rvb i="1223"/>
        </ext>
      </extLst>
    </bk>
    <bk>
      <extLst>
        <ext uri="{3e2802c4-a4d2-4d8b-9148-e3be6c30e623}">
          <xlrd:rvb i="1277"/>
        </ext>
      </extLst>
    </bk>
    <bk>
      <extLst>
        <ext uri="{3e2802c4-a4d2-4d8b-9148-e3be6c30e623}">
          <xlrd:rvb i="1278"/>
        </ext>
      </extLst>
    </bk>
    <bk>
      <extLst>
        <ext uri="{3e2802c4-a4d2-4d8b-9148-e3be6c30e623}">
          <xlrd:rvb i="1342"/>
        </ext>
      </extLst>
    </bk>
    <bk>
      <extLst>
        <ext uri="{3e2802c4-a4d2-4d8b-9148-e3be6c30e623}">
          <xlrd:rvb i="1343"/>
        </ext>
      </extLst>
    </bk>
    <bk>
      <extLst>
        <ext uri="{3e2802c4-a4d2-4d8b-9148-e3be6c30e623}">
          <xlrd:rvb i="1394"/>
        </ext>
      </extLst>
    </bk>
    <bk>
      <extLst>
        <ext uri="{3e2802c4-a4d2-4d8b-9148-e3be6c30e623}">
          <xlrd:rvb i="1395"/>
        </ext>
      </extLst>
    </bk>
    <bk>
      <extLst>
        <ext uri="{3e2802c4-a4d2-4d8b-9148-e3be6c30e623}">
          <xlrd:rvb i="1451"/>
        </ext>
      </extLst>
    </bk>
    <bk>
      <extLst>
        <ext uri="{3e2802c4-a4d2-4d8b-9148-e3be6c30e623}">
          <xlrd:rvb i="1452"/>
        </ext>
      </extLst>
    </bk>
    <bk>
      <extLst>
        <ext uri="{3e2802c4-a4d2-4d8b-9148-e3be6c30e623}">
          <xlrd:rvb i="1498"/>
        </ext>
      </extLst>
    </bk>
    <bk>
      <extLst>
        <ext uri="{3e2802c4-a4d2-4d8b-9148-e3be6c30e623}">
          <xlrd:rvb i="1499"/>
        </ext>
      </extLst>
    </bk>
    <bk>
      <extLst>
        <ext uri="{3e2802c4-a4d2-4d8b-9148-e3be6c30e623}">
          <xlrd:rvb i="1548"/>
        </ext>
      </extLst>
    </bk>
    <bk>
      <extLst>
        <ext uri="{3e2802c4-a4d2-4d8b-9148-e3be6c30e623}">
          <xlrd:rvb i="1549"/>
        </ext>
      </extLst>
    </bk>
    <bk>
      <extLst>
        <ext uri="{3e2802c4-a4d2-4d8b-9148-e3be6c30e623}">
          <xlrd:rvb i="1596"/>
        </ext>
      </extLst>
    </bk>
    <bk>
      <extLst>
        <ext uri="{3e2802c4-a4d2-4d8b-9148-e3be6c30e623}">
          <xlrd:rvb i="1597"/>
        </ext>
      </extLst>
    </bk>
    <bk>
      <extLst>
        <ext uri="{3e2802c4-a4d2-4d8b-9148-e3be6c30e623}">
          <xlrd:rvb i="1648"/>
        </ext>
      </extLst>
    </bk>
    <bk>
      <extLst>
        <ext uri="{3e2802c4-a4d2-4d8b-9148-e3be6c30e623}">
          <xlrd:rvb i="1649"/>
        </ext>
      </extLst>
    </bk>
    <bk>
      <extLst>
        <ext uri="{3e2802c4-a4d2-4d8b-9148-e3be6c30e623}">
          <xlrd:rvb i="1728"/>
        </ext>
      </extLst>
    </bk>
    <bk>
      <extLst>
        <ext uri="{3e2802c4-a4d2-4d8b-9148-e3be6c30e623}">
          <xlrd:rvb i="1729"/>
        </ext>
      </extLst>
    </bk>
    <bk>
      <extLst>
        <ext uri="{3e2802c4-a4d2-4d8b-9148-e3be6c30e623}">
          <xlrd:rvb i="1807"/>
        </ext>
      </extLst>
    </bk>
    <bk>
      <extLst>
        <ext uri="{3e2802c4-a4d2-4d8b-9148-e3be6c30e623}">
          <xlrd:rvb i="1808"/>
        </ext>
      </extLst>
    </bk>
    <bk>
      <extLst>
        <ext uri="{3e2802c4-a4d2-4d8b-9148-e3be6c30e623}">
          <xlrd:rvb i="1865"/>
        </ext>
      </extLst>
    </bk>
    <bk>
      <extLst>
        <ext uri="{3e2802c4-a4d2-4d8b-9148-e3be6c30e623}">
          <xlrd:rvb i="1866"/>
        </ext>
      </extLst>
    </bk>
    <bk>
      <extLst>
        <ext uri="{3e2802c4-a4d2-4d8b-9148-e3be6c30e623}">
          <xlrd:rvb i="1913"/>
        </ext>
      </extLst>
    </bk>
    <bk>
      <extLst>
        <ext uri="{3e2802c4-a4d2-4d8b-9148-e3be6c30e623}">
          <xlrd:rvb i="1914"/>
        </ext>
      </extLst>
    </bk>
    <bk>
      <extLst>
        <ext uri="{3e2802c4-a4d2-4d8b-9148-e3be6c30e623}">
          <xlrd:rvb i="1969"/>
        </ext>
      </extLst>
    </bk>
    <bk>
      <extLst>
        <ext uri="{3e2802c4-a4d2-4d8b-9148-e3be6c30e623}">
          <xlrd:rvb i="1970"/>
        </ext>
      </extLst>
    </bk>
    <bk>
      <extLst>
        <ext uri="{3e2802c4-a4d2-4d8b-9148-e3be6c30e623}">
          <xlrd:rvb i="2039"/>
        </ext>
      </extLst>
    </bk>
    <bk>
      <extLst>
        <ext uri="{3e2802c4-a4d2-4d8b-9148-e3be6c30e623}">
          <xlrd:rvb i="2040"/>
        </ext>
      </extLst>
    </bk>
    <bk>
      <extLst>
        <ext uri="{3e2802c4-a4d2-4d8b-9148-e3be6c30e623}">
          <xlrd:rvb i="2090"/>
        </ext>
      </extLst>
    </bk>
    <bk>
      <extLst>
        <ext uri="{3e2802c4-a4d2-4d8b-9148-e3be6c30e623}">
          <xlrd:rvb i="2091"/>
        </ext>
      </extLst>
    </bk>
    <bk>
      <extLst>
        <ext uri="{3e2802c4-a4d2-4d8b-9148-e3be6c30e623}">
          <xlrd:rvb i="2159"/>
        </ext>
      </extLst>
    </bk>
    <bk>
      <extLst>
        <ext uri="{3e2802c4-a4d2-4d8b-9148-e3be6c30e623}">
          <xlrd:rvb i="2160"/>
        </ext>
      </extLst>
    </bk>
    <bk>
      <extLst>
        <ext uri="{3e2802c4-a4d2-4d8b-9148-e3be6c30e623}">
          <xlrd:rvb i="2242"/>
        </ext>
      </extLst>
    </bk>
    <bk>
      <extLst>
        <ext uri="{3e2802c4-a4d2-4d8b-9148-e3be6c30e623}">
          <xlrd:rvb i="2243"/>
        </ext>
      </extLst>
    </bk>
    <bk>
      <extLst>
        <ext uri="{3e2802c4-a4d2-4d8b-9148-e3be6c30e623}">
          <xlrd:rvb i="2333"/>
        </ext>
      </extLst>
    </bk>
    <bk>
      <extLst>
        <ext uri="{3e2802c4-a4d2-4d8b-9148-e3be6c30e623}">
          <xlrd:rvb i="2334"/>
        </ext>
      </extLst>
    </bk>
    <bk>
      <extLst>
        <ext uri="{3e2802c4-a4d2-4d8b-9148-e3be6c30e623}">
          <xlrd:rvb i="2391"/>
        </ext>
      </extLst>
    </bk>
    <bk>
      <extLst>
        <ext uri="{3e2802c4-a4d2-4d8b-9148-e3be6c30e623}">
          <xlrd:rvb i="2392"/>
        </ext>
      </extLst>
    </bk>
    <bk>
      <extLst>
        <ext uri="{3e2802c4-a4d2-4d8b-9148-e3be6c30e623}">
          <xlrd:rvb i="2454"/>
        </ext>
      </extLst>
    </bk>
    <bk>
      <extLst>
        <ext uri="{3e2802c4-a4d2-4d8b-9148-e3be6c30e623}">
          <xlrd:rvb i="2455"/>
        </ext>
      </extLst>
    </bk>
    <bk>
      <extLst>
        <ext uri="{3e2802c4-a4d2-4d8b-9148-e3be6c30e623}">
          <xlrd:rvb i="2556"/>
        </ext>
      </extLst>
    </bk>
    <bk>
      <extLst>
        <ext uri="{3e2802c4-a4d2-4d8b-9148-e3be6c30e623}">
          <xlrd:rvb i="2557"/>
        </ext>
      </extLst>
    </bk>
    <bk>
      <extLst>
        <ext uri="{3e2802c4-a4d2-4d8b-9148-e3be6c30e623}">
          <xlrd:rvb i="2608"/>
        </ext>
      </extLst>
    </bk>
    <bk>
      <extLst>
        <ext uri="{3e2802c4-a4d2-4d8b-9148-e3be6c30e623}">
          <xlrd:rvb i="2609"/>
        </ext>
      </extLst>
    </bk>
    <bk>
      <extLst>
        <ext uri="{3e2802c4-a4d2-4d8b-9148-e3be6c30e623}">
          <xlrd:rvb i="2684"/>
        </ext>
      </extLst>
    </bk>
    <bk>
      <extLst>
        <ext uri="{3e2802c4-a4d2-4d8b-9148-e3be6c30e623}">
          <xlrd:rvb i="2685"/>
        </ext>
      </extLst>
    </bk>
    <bk>
      <extLst>
        <ext uri="{3e2802c4-a4d2-4d8b-9148-e3be6c30e623}">
          <xlrd:rvb i="2764"/>
        </ext>
      </extLst>
    </bk>
    <bk>
      <extLst>
        <ext uri="{3e2802c4-a4d2-4d8b-9148-e3be6c30e623}">
          <xlrd:rvb i="2765"/>
        </ext>
      </extLst>
    </bk>
    <bk>
      <extLst>
        <ext uri="{3e2802c4-a4d2-4d8b-9148-e3be6c30e623}">
          <xlrd:rvb i="2832"/>
        </ext>
      </extLst>
    </bk>
    <bk>
      <extLst>
        <ext uri="{3e2802c4-a4d2-4d8b-9148-e3be6c30e623}">
          <xlrd:rvb i="2833"/>
        </ext>
      </extLst>
    </bk>
    <bk>
      <extLst>
        <ext uri="{3e2802c4-a4d2-4d8b-9148-e3be6c30e623}">
          <xlrd:rvb i="2905"/>
        </ext>
      </extLst>
    </bk>
    <bk>
      <extLst>
        <ext uri="{3e2802c4-a4d2-4d8b-9148-e3be6c30e623}">
          <xlrd:rvb i="2906"/>
        </ext>
      </extLst>
    </bk>
    <bk>
      <extLst>
        <ext uri="{3e2802c4-a4d2-4d8b-9148-e3be6c30e623}">
          <xlrd:rvb i="2963"/>
        </ext>
      </extLst>
    </bk>
    <bk>
      <extLst>
        <ext uri="{3e2802c4-a4d2-4d8b-9148-e3be6c30e623}">
          <xlrd:rvb i="2964"/>
        </ext>
      </extLst>
    </bk>
    <bk>
      <extLst>
        <ext uri="{3e2802c4-a4d2-4d8b-9148-e3be6c30e623}">
          <xlrd:rvb i="3050"/>
        </ext>
      </extLst>
    </bk>
    <bk>
      <extLst>
        <ext uri="{3e2802c4-a4d2-4d8b-9148-e3be6c30e623}">
          <xlrd:rvb i="3051"/>
        </ext>
      </extLst>
    </bk>
    <bk>
      <extLst>
        <ext uri="{3e2802c4-a4d2-4d8b-9148-e3be6c30e623}">
          <xlrd:rvb i="3113"/>
        </ext>
      </extLst>
    </bk>
  </futureMetadata>
  <cellMetadata count="1">
    <bk>
      <rc t="1" v="0"/>
    </bk>
  </cellMetadata>
  <valueMetadata count="9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valueMetadata>
</metadata>
</file>

<file path=xl/sharedStrings.xml><?xml version="1.0" encoding="utf-8"?>
<sst xmlns="http://schemas.openxmlformats.org/spreadsheetml/2006/main" count="607" uniqueCount="189">
  <si>
    <t>NZL</t>
  </si>
  <si>
    <t>OPTION SENT TO PMA</t>
  </si>
  <si>
    <t>IRL</t>
  </si>
  <si>
    <t>ONGOING</t>
  </si>
  <si>
    <t>KOR</t>
  </si>
  <si>
    <t>BOOKED</t>
  </si>
  <si>
    <t>CHN</t>
  </si>
  <si>
    <t>BRA</t>
  </si>
  <si>
    <t>USA</t>
  </si>
  <si>
    <t>VIE</t>
  </si>
  <si>
    <t>NOT REQUIRED</t>
  </si>
  <si>
    <t>HON</t>
  </si>
  <si>
    <t>PENDING WITH QA</t>
  </si>
  <si>
    <t>SEN</t>
  </si>
  <si>
    <t>PENDING WITH TRAVEL AGENT</t>
  </si>
  <si>
    <t>INBOUND FLIGHT</t>
  </si>
  <si>
    <t>OUTBOUND FLIGHT</t>
  </si>
  <si>
    <t>GROUP</t>
  </si>
  <si>
    <t>TRIGRAM</t>
  </si>
  <si>
    <t>COUNTRY</t>
  </si>
  <si>
    <t>FLAG</t>
  </si>
  <si>
    <t>ALLOCATED HOTEL</t>
  </si>
  <si>
    <t xml:space="preserve">ACC ACCOUNT MANAGER </t>
  </si>
  <si>
    <t>PMA DETAILS</t>
  </si>
  <si>
    <t>FACT SHEET</t>
  </si>
  <si>
    <t>TRAVEL BOKING
STATUS</t>
  </si>
  <si>
    <t>OFFICAL
ARRIVAL DATE
TO DOHA</t>
  </si>
  <si>
    <t>HOTEL STATUS</t>
  </si>
  <si>
    <t>SUPPLIER</t>
  </si>
  <si>
    <t>ITINERARY</t>
  </si>
  <si>
    <t>TICKET STATUS</t>
  </si>
  <si>
    <t>FLIGHT
NUMBER</t>
  </si>
  <si>
    <t xml:space="preserve">DEPARTURE DATE TO DOHA </t>
  </si>
  <si>
    <t xml:space="preserve">DEPARTURE TIME TO DOHA </t>
  </si>
  <si>
    <t xml:space="preserve">ARRIVAL DATE TO DOHA </t>
  </si>
  <si>
    <t xml:space="preserve">ARRIVAL TIME IN DOHA </t>
  </si>
  <si>
    <t xml:space="preserve">TOTAL
PASSENGERS </t>
  </si>
  <si>
    <t xml:space="preserve">FLIGHT NUMBER </t>
  </si>
  <si>
    <t xml:space="preserve">DEPARTURE
DATE
FROM DOHA </t>
  </si>
  <si>
    <t xml:space="preserve">DEPARTURE
TIME
FROM DOHA </t>
  </si>
  <si>
    <t>ROOMING LIST</t>
  </si>
  <si>
    <t>FLOOR ALLOCATION</t>
  </si>
  <si>
    <t xml:space="preserve">ADDITIONAL ROOMS </t>
  </si>
  <si>
    <t xml:space="preserve">ADDITIONAL MEETING ROOM </t>
  </si>
  <si>
    <t xml:space="preserve">ADDITIONAL REQUIREMENT </t>
  </si>
  <si>
    <t>ACCOMMODATION NOTES</t>
  </si>
  <si>
    <t>TRAVEL NOTES</t>
  </si>
  <si>
    <t xml:space="preserve">ADDITIONAL  TRAVEL REQUIREMENT </t>
  </si>
  <si>
    <t>AIRPORT CODE</t>
  </si>
  <si>
    <t xml:space="preserve">PMA HEADQUATER </t>
  </si>
  <si>
    <t xml:space="preserve">REQUESTED DEPARTURE CITY </t>
  </si>
  <si>
    <t>FARE</t>
  </si>
  <si>
    <t>GROUP A</t>
  </si>
  <si>
    <t>EGY</t>
  </si>
  <si>
    <t>HOLIDAY VILLA</t>
  </si>
  <si>
    <t>ZIAD</t>
  </si>
  <si>
    <t>RECEIVED FROM TSV</t>
  </si>
  <si>
    <t>SENT</t>
  </si>
  <si>
    <t>PENDING</t>
  </si>
  <si>
    <t>NOT RECEIVED</t>
  </si>
  <si>
    <t>Waiting for U17 Gulf Cup confirmation</t>
  </si>
  <si>
    <t>TBC</t>
  </si>
  <si>
    <t>GRE</t>
  </si>
  <si>
    <t>RADISSON BLU</t>
  </si>
  <si>
    <t>SONYA</t>
  </si>
  <si>
    <t>QATAR AIRWAYS</t>
  </si>
  <si>
    <t>ATH-DOH-ATH</t>
  </si>
  <si>
    <t>QR 204</t>
  </si>
  <si>
    <t>11 Rooms</t>
  </si>
  <si>
    <t>Waiting for Proforma from Hotel to be shared from to the team</t>
  </si>
  <si>
    <t>Proforma shared by the Hotel to the team</t>
  </si>
  <si>
    <t>PAN</t>
  </si>
  <si>
    <t>EZDAN PALACE</t>
  </si>
  <si>
    <t>HUSAIN</t>
  </si>
  <si>
    <t xml:space="preserve">2nd floor </t>
  </si>
  <si>
    <t>7 rooms</t>
  </si>
  <si>
    <t>Departure date from Panama requested November 2</t>
  </si>
  <si>
    <t>QAT</t>
  </si>
  <si>
    <t>BEST PLAZA</t>
  </si>
  <si>
    <t>UNDER DISCUSSION</t>
  </si>
  <si>
    <t>NOT APPLICABLE</t>
  </si>
  <si>
    <t>GROUP B</t>
  </si>
  <si>
    <t>ECU</t>
  </si>
  <si>
    <t>QR858</t>
  </si>
  <si>
    <t xml:space="preserve">Pre Camp in Millenium </t>
  </si>
  <si>
    <t>ACC from 11-15 Own Account</t>
  </si>
  <si>
    <t>PMA will be coming for a Pre-Camp in Doh</t>
  </si>
  <si>
    <t>NCL</t>
  </si>
  <si>
    <t>UGA</t>
  </si>
  <si>
    <t>EBB-DOH-EBB</t>
  </si>
  <si>
    <t>QR 1384</t>
  </si>
  <si>
    <t>1 Room</t>
  </si>
  <si>
    <t>Email has been sent to the PMA &amp; Hotel</t>
  </si>
  <si>
    <t>GROUP C</t>
  </si>
  <si>
    <t>ARG</t>
  </si>
  <si>
    <t>AUS</t>
  </si>
  <si>
    <t>Awaiting for reply from Jarrad - Multiple city bookings for players and the confirmation</t>
  </si>
  <si>
    <t>DNK</t>
  </si>
  <si>
    <t>EZDAN TOWERS</t>
  </si>
  <si>
    <t>CPH-DOH-CPH</t>
  </si>
  <si>
    <t>QR 162</t>
  </si>
  <si>
    <t>7 Rooms</t>
  </si>
  <si>
    <t>Additional seats will be booked by PMA directly - Follow up for No required</t>
  </si>
  <si>
    <t>MOZ</t>
  </si>
  <si>
    <t>FLIGHT ARRIVAL ON 15 NOV 12:05 AM, Pls reconfirm with Tony if this is OK or if 16Nov 12:05 am arrival to be considerred</t>
  </si>
  <si>
    <t>GROUP D</t>
  </si>
  <si>
    <t>FRA</t>
  </si>
  <si>
    <t>CDG-DOH-CDG</t>
  </si>
  <si>
    <t>QR 042</t>
  </si>
  <si>
    <t>33rd Floor</t>
  </si>
  <si>
    <t>4 Rooms</t>
  </si>
  <si>
    <t>HAI</t>
  </si>
  <si>
    <t>KSA</t>
  </si>
  <si>
    <t>Request ticket refund declined - Awaiting Response</t>
  </si>
  <si>
    <t>URU</t>
  </si>
  <si>
    <t>CROWNE PLAZA</t>
  </si>
  <si>
    <t>GROUP E</t>
  </si>
  <si>
    <t>CIV</t>
  </si>
  <si>
    <t>ABJ-DOH-ABJ</t>
  </si>
  <si>
    <t>QR1423</t>
  </si>
  <si>
    <t>PMA will be going for Traning Camp in DXB</t>
  </si>
  <si>
    <t>ITA</t>
  </si>
  <si>
    <t>FCO-DOH-FCO</t>
  </si>
  <si>
    <t>QR 132</t>
  </si>
  <si>
    <t>JAM</t>
  </si>
  <si>
    <t>UZB</t>
  </si>
  <si>
    <t>TAS-DOH-TAS</t>
  </si>
  <si>
    <t>QR 378</t>
  </si>
  <si>
    <t>0 Rooms</t>
  </si>
  <si>
    <t>Email has been sent to the PMA to request release of additional rooms</t>
  </si>
  <si>
    <t>GROUP F</t>
  </si>
  <si>
    <t>CRO</t>
  </si>
  <si>
    <t>Flight booked on 17 since 16 is overbooked and no availability on 15  / Sent request to Darwish</t>
  </si>
  <si>
    <t>CUB</t>
  </si>
  <si>
    <t>President and Vice President</t>
  </si>
  <si>
    <t>TJK</t>
  </si>
  <si>
    <t>GROUP G</t>
  </si>
  <si>
    <t>BEL</t>
  </si>
  <si>
    <t>DUSIT D2</t>
  </si>
  <si>
    <t>BRU-DOH-BRU</t>
  </si>
  <si>
    <t>QR194</t>
  </si>
  <si>
    <t>Team requested special snack menu</t>
  </si>
  <si>
    <t>MLI</t>
  </si>
  <si>
    <t>3rd Floor - East Wing</t>
  </si>
  <si>
    <t>3rd Floor - East Wing confirmed</t>
  </si>
  <si>
    <t>Awaiting Pre Camp Confirmations</t>
  </si>
  <si>
    <t>HOLIDAY INN</t>
  </si>
  <si>
    <t>Awaiting Pre Camp Confirmations // Team wants to come on November 6 - No change in group fare</t>
  </si>
  <si>
    <t>GROUP H</t>
  </si>
  <si>
    <t>Change in departure city request and date - 6 / 7 instead of 16 - Awaiting reply from TSV for field availability to confirm dates</t>
  </si>
  <si>
    <t>ESP</t>
  </si>
  <si>
    <t xml:space="preserve">MAD-DOH-MAD </t>
  </si>
  <si>
    <t>QR 148</t>
  </si>
  <si>
    <t>FIJ</t>
  </si>
  <si>
    <t>MAR</t>
  </si>
  <si>
    <t>FLIGHT ARRIVAL ON 17 NOV 12:30 AM, Pls reconfirm with Tony if this is OK or if 16Nov 12:35 am arrival to be considerred</t>
  </si>
  <si>
    <t>GROUP I</t>
  </si>
  <si>
    <t>CRC</t>
  </si>
  <si>
    <t>2 Suites</t>
  </si>
  <si>
    <t>Two additional Suites for meeting - Same Floor</t>
  </si>
  <si>
    <t>Awaiting confirmation for precamp</t>
  </si>
  <si>
    <t>TAN</t>
  </si>
  <si>
    <t>MILLENIUM</t>
  </si>
  <si>
    <t>GROUP J</t>
  </si>
  <si>
    <t>ALG</t>
  </si>
  <si>
    <t>CHI</t>
  </si>
  <si>
    <t>17-19 Nov 4 Rooms / 20-27 Nov 8 Rooms</t>
  </si>
  <si>
    <t>MNE</t>
  </si>
  <si>
    <t>WARWICK</t>
  </si>
  <si>
    <t xml:space="preserve">7 rooms </t>
  </si>
  <si>
    <t>GROUP K</t>
  </si>
  <si>
    <t>CMR</t>
  </si>
  <si>
    <t>MEX</t>
  </si>
  <si>
    <t>ROU</t>
  </si>
  <si>
    <t>OTP-DOH-OTP</t>
  </si>
  <si>
    <t>QR 220</t>
  </si>
  <si>
    <t>2nd &amp; 3rd Floor</t>
  </si>
  <si>
    <t>4 DBL Occ</t>
  </si>
  <si>
    <t>VEN</t>
  </si>
  <si>
    <t>Since there are no direct flights to arrive on 17 Nov hence i gave them 16Nov arrivals</t>
  </si>
  <si>
    <t>GROUP L</t>
  </si>
  <si>
    <t>COL</t>
  </si>
  <si>
    <t>Since there are no direct flights to arrive on 17 Nov hence i gave them 16Nov arrivals / Will confirm once precamp confirmed</t>
  </si>
  <si>
    <t>JPN</t>
  </si>
  <si>
    <t>First Floor Confirmed</t>
  </si>
  <si>
    <t>8 SGL - 1 TB - 1 Relaxation - 1 Staff Meeting / Request to Arrive on 16-Nov</t>
  </si>
  <si>
    <t>Awaiting reply from Kento - Declined request for flight booking to Dubai</t>
  </si>
  <si>
    <t>SRB</t>
  </si>
  <si>
    <t>Since there are no direct flights to arrive on 17 Nov hence i gave them 16Nov arrivals / Checking Darwish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</si>
</sst>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h:mm;@"/>
    <numFmt numFmtId="166" formatCode="[$QAR]\ #,##0_);\([$QAR]\ #,##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8"/>
      <color theme="1"/>
      <name val="Calibri"/>
      <family val="2"/>
    </font>
    <font>
      <b/>
      <sz val="8"/>
      <color theme="1"/>
      <name val="Calibri"/>
      <family val="2"/>
    </font>
    <font>
      <b/>
      <sz val="9"/>
      <color theme="0"/>
      <name val="Calibri"/>
      <family val="2"/>
    </font>
    <font>
      <sz val="8"/>
      <color rgb="FF000000"/>
      <name val="Calibri"/>
      <family val="2"/>
    </font>
    <font>
      <b/>
      <sz val="8"/>
      <color theme="0"/>
      <name val="Calibri"/>
      <family val="2"/>
    </font>
    <font>
      <u/>
      <sz val="8"/>
      <color theme="10"/>
      <name val="Calibri"/>
      <family val="2"/>
    </font>
    <font>
      <u/>
      <sz val="9"/>
      <color theme="10"/>
      <name val="Aptos Narrow"/>
      <family val="2"/>
      <scheme val="minor"/>
    </font>
  </fonts>
  <fills count="5">
    <fill>
      <patternFill patternType="none"/>
    </fill>
    <fill>
      <patternFill patternType="gray125"/>
    </fill>
    <fill>
      <patternFill patternType="solid">
        <fgColor rgb="FFFFFBF3"/>
        <bgColor indexed="64"/>
      </patternFill>
    </fill>
    <fill>
      <patternFill patternType="solid">
        <fgColor rgb="FF660322"/>
        <bgColor rgb="FF000000"/>
      </patternFill>
    </fill>
    <fill>
      <patternFill patternType="solid">
        <fgColor rgb="FF660322"/>
        <bgColor indexed="64"/>
      </patternFill>
    </fill>
  </fills>
  <borders count="8">
    <border>
      <left/>
      <right/>
      <top/>
      <bottom/>
      <diagonal/>
    </border>
    <border>
      <left style="thin">
        <color rgb="FFE8EEE1"/>
      </left>
      <right style="thin">
        <color rgb="FFE8EEE1"/>
      </right>
      <top style="thin">
        <color rgb="FFE8EEE1"/>
      </top>
      <bottom style="thin">
        <color rgb="FFE8EEE1"/>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vertical="center"/>
    </xf>
    <xf numFmtId="0" fontId="0" fillId="0" borderId="0" xfId="0" applyAlignment="1">
      <alignment vertical="center"/>
    </xf>
    <xf numFmtId="0" fontId="5" fillId="3" borderId="1"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6" xfId="0" applyFont="1" applyFill="1" applyBorder="1" applyAlignment="1">
      <alignment horizontal="left" vertical="center" wrapText="1"/>
    </xf>
    <xf numFmtId="0" fontId="7" fillId="4" borderId="6" xfId="0" applyFont="1" applyFill="1" applyBorder="1" applyAlignment="1">
      <alignment horizontal="center" vertical="center" wrapText="1"/>
    </xf>
    <xf numFmtId="0" fontId="1" fillId="0" borderId="0" xfId="0" applyFont="1" applyAlignment="1">
      <alignment vertical="center" wrapText="1"/>
    </xf>
    <xf numFmtId="0" fontId="3" fillId="2" borderId="7" xfId="0" applyFont="1" applyFill="1" applyBorder="1" applyAlignment="1">
      <alignment horizontal="center" vertical="center"/>
    </xf>
    <xf numFmtId="0" fontId="6" fillId="2" borderId="7" xfId="0" applyFont="1" applyFill="1" applyBorder="1" applyAlignment="1">
      <alignment horizontal="center" vertical="center"/>
    </xf>
    <xf numFmtId="0" fontId="8" fillId="2" borderId="7" xfId="1" applyFont="1" applyFill="1" applyBorder="1" applyAlignment="1">
      <alignment horizontal="left" vertical="center"/>
    </xf>
    <xf numFmtId="0" fontId="3" fillId="2" borderId="7" xfId="0" applyFont="1" applyFill="1" applyBorder="1" applyAlignment="1">
      <alignment vertical="center"/>
    </xf>
    <xf numFmtId="164" fontId="6" fillId="2" borderId="7" xfId="0" applyNumberFormat="1" applyFont="1" applyFill="1" applyBorder="1" applyAlignment="1">
      <alignment horizontal="center" vertical="center"/>
    </xf>
    <xf numFmtId="165" fontId="6" fillId="2" borderId="7" xfId="0" applyNumberFormat="1" applyFont="1" applyFill="1" applyBorder="1" applyAlignment="1">
      <alignment horizontal="center" vertical="center"/>
    </xf>
    <xf numFmtId="1" fontId="6" fillId="2" borderId="7"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1" fontId="3" fillId="2" borderId="7" xfId="0" applyNumberFormat="1" applyFont="1" applyFill="1" applyBorder="1" applyAlignment="1">
      <alignment horizontal="center" vertical="center"/>
    </xf>
    <xf numFmtId="166" fontId="3" fillId="2" borderId="7" xfId="0" applyNumberFormat="1" applyFont="1" applyFill="1" applyBorder="1" applyAlignment="1">
      <alignment vertical="center"/>
    </xf>
    <xf numFmtId="0" fontId="3" fillId="2" borderId="7" xfId="0" applyFont="1" applyFill="1" applyBorder="1" applyAlignment="1">
      <alignment vertical="center" wrapText="1"/>
    </xf>
    <xf numFmtId="0" fontId="8" fillId="2" borderId="7" xfId="1" applyFont="1" applyFill="1" applyBorder="1" applyAlignment="1">
      <alignment horizontal="center" vertical="center"/>
    </xf>
    <xf numFmtId="0" fontId="9" fillId="2" borderId="7" xfId="1" applyFont="1" applyFill="1" applyBorder="1" applyAlignment="1">
      <alignment horizontal="center" vertical="center"/>
    </xf>
    <xf numFmtId="1" fontId="4" fillId="2" borderId="7" xfId="0" applyNumberFormat="1" applyFont="1" applyFill="1" applyBorder="1" applyAlignment="1">
      <alignment horizontal="center" vertical="center"/>
    </xf>
    <xf numFmtId="0" fontId="0" fillId="0" borderId="7"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0" fontId="5" fillId="4" borderId="2"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cellXfs>
  <cellStyles count="2">
    <cellStyle name="Hyperlink" xfId="1" builtinId="8"/>
    <cellStyle name="Normal" xfId="0" builtinId="0"/>
  </cellStyles>
  <dxfs count="29">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9C0006"/>
      </font>
      <fill>
        <patternFill>
          <bgColor rgb="FFFFC7CE"/>
        </patternFill>
      </fill>
    </dxf>
    <dxf>
      <font>
        <color rgb="FF9C0006"/>
      </font>
      <fill>
        <patternFill>
          <bgColor rgb="FFFFC7CE"/>
        </patternFill>
      </fill>
    </dxf>
    <dxf>
      <font>
        <b/>
        <i val="0"/>
        <color theme="0"/>
      </font>
      <fill>
        <patternFill>
          <bgColor rgb="FF0166B3"/>
        </patternFill>
      </fill>
    </dxf>
    <dxf>
      <font>
        <b/>
        <i val="0"/>
      </font>
      <fill>
        <patternFill>
          <bgColor rgb="FFA1D076"/>
        </patternFill>
      </fill>
    </dxf>
    <dxf>
      <font>
        <b/>
        <i val="0"/>
      </font>
      <fill>
        <patternFill>
          <bgColor rgb="FFFECA0A"/>
        </patternFill>
      </fill>
    </dxf>
    <dxf>
      <font>
        <b/>
        <i val="0"/>
        <color theme="0"/>
      </font>
      <fill>
        <patternFill patternType="solid">
          <bgColor rgb="FF359847"/>
        </patternFill>
      </fill>
    </dxf>
    <dxf>
      <font>
        <b/>
        <i val="0"/>
        <color theme="0"/>
      </font>
      <fill>
        <patternFill patternType="solid">
          <bgColor rgb="FF00ABE5"/>
        </patternFill>
      </fill>
    </dxf>
    <dxf>
      <font>
        <b/>
        <i val="0"/>
        <color theme="0"/>
      </font>
      <fill>
        <patternFill patternType="solid">
          <bgColor rgb="FF7E3E98"/>
        </patternFill>
      </fill>
    </dxf>
    <dxf>
      <font>
        <b/>
        <i val="0"/>
        <color theme="0"/>
      </font>
      <fill>
        <patternFill patternType="solid">
          <bgColor rgb="FF5A702C"/>
        </patternFill>
      </fill>
    </dxf>
    <dxf>
      <font>
        <b/>
        <i val="0"/>
        <color theme="1"/>
      </font>
      <fill>
        <patternFill patternType="solid">
          <bgColor rgb="FF8DF5F7"/>
        </patternFill>
      </fill>
    </dxf>
    <dxf>
      <font>
        <b/>
        <i val="0"/>
        <color theme="0"/>
      </font>
      <fill>
        <patternFill patternType="solid">
          <bgColor rgb="FFF58220"/>
        </patternFill>
      </fill>
    </dxf>
    <dxf>
      <font>
        <b/>
        <i val="0"/>
        <color theme="0"/>
      </font>
      <fill>
        <patternFill patternType="solid">
          <bgColor rgb="FFB7282E"/>
        </patternFill>
      </fill>
    </dxf>
    <dxf>
      <font>
        <b/>
        <i val="0"/>
        <color theme="0"/>
      </font>
      <fill>
        <patternFill patternType="solid">
          <bgColor rgb="FF01707E"/>
        </patternFill>
      </fill>
    </dxf>
    <dxf>
      <font>
        <b/>
        <i val="0"/>
        <color theme="0"/>
      </font>
      <fill>
        <patternFill patternType="solid">
          <bgColor rgb="FF838F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image" Target="../media/image39.55e18930b9f4f69172095b7b3b0671f6"/><Relationship Id="rId21" Type="http://schemas.openxmlformats.org/officeDocument/2006/relationships/image" Target="../media/image7.1Z6krRkiRxZU6LE5"/><Relationship Id="rId42" Type="http://schemas.openxmlformats.org/officeDocument/2006/relationships/image" Target="../media/image14.e361089b50440849361002f9124948e5"/><Relationship Id="rId63" Type="http://schemas.openxmlformats.org/officeDocument/2006/relationships/image" Target="../media/image21.909e75f79c08029f7d3305071d2c5b94"/><Relationship Id="rId84" Type="http://schemas.openxmlformats.org/officeDocument/2006/relationships/image" Target="../media/image28.99c446a14ed3da5ff3816aa56e039c42"/><Relationship Id="rId138" Type="http://schemas.openxmlformats.org/officeDocument/2006/relationships/image" Target="../media/image46.88c1f5be841e4632efc4c814214a60a8"/><Relationship Id="rId107" Type="http://schemas.openxmlformats.org/officeDocument/2006/relationships/hyperlink" Target="https://www.bing.com/images/search?form=xlimg&amp;q=Tanzania" TargetMode="External"/><Relationship Id="rId11" Type="http://schemas.openxmlformats.org/officeDocument/2006/relationships/hyperlink" Target="https://www.bing.com/images/search?form=xlimg&amp;q=Qatar" TargetMode="External"/><Relationship Id="rId32" Type="http://schemas.openxmlformats.org/officeDocument/2006/relationships/hyperlink" Target="https://www.bing.com/images/search?form=xlimg&amp;q=Denmark" TargetMode="External"/><Relationship Id="rId37" Type="http://schemas.openxmlformats.org/officeDocument/2006/relationships/hyperlink" Target="https://www.bing.com/th?id=OSK.IJoB2IAflCzjheZJfaz5mfzEWw5jRcoWEgDQz1yU2Yk&amp;qlt=95" TargetMode="External"/><Relationship Id="rId53" Type="http://schemas.openxmlformats.org/officeDocument/2006/relationships/hyperlink" Target="https://www.bing.com/images/search?form=xlimg&amp;q=Italy" TargetMode="External"/><Relationship Id="rId58" Type="http://schemas.openxmlformats.org/officeDocument/2006/relationships/hyperlink" Target="https://www.bing.com/th?id=OSK.79603601c02fb12e2ae6810717b92274&amp;qlt=95" TargetMode="External"/><Relationship Id="rId74" Type="http://schemas.openxmlformats.org/officeDocument/2006/relationships/hyperlink" Target="https://www.bing.com/images/search?form=xlimg&amp;q=Belgium" TargetMode="External"/><Relationship Id="rId79" Type="http://schemas.openxmlformats.org/officeDocument/2006/relationships/hyperlink" Target="https://www.bing.com/th?id=OSK.b6a5970ae3dca3a8d37948add590bac6&amp;qlt=95" TargetMode="External"/><Relationship Id="rId102" Type="http://schemas.openxmlformats.org/officeDocument/2006/relationships/image" Target="../media/image34.gJeCTvNOFIBVadKJtyVRcViTN1SUrr5tzlDNF8aH4ko"/><Relationship Id="rId123" Type="http://schemas.openxmlformats.org/officeDocument/2006/relationships/image" Target="../media/image41.45468b20d1a6bac3d3c1ed00258ea889"/><Relationship Id="rId128" Type="http://schemas.openxmlformats.org/officeDocument/2006/relationships/hyperlink" Target="https://www.bing.com/images/search?form=xlimg&amp;q=Romania" TargetMode="External"/><Relationship Id="rId144" Type="http://schemas.openxmlformats.org/officeDocument/2006/relationships/image" Target="../media/image48.c487ba4ced6ceb655b94fb1585b38896"/><Relationship Id="rId5" Type="http://schemas.openxmlformats.org/officeDocument/2006/relationships/hyperlink" Target="https://www.bing.com/images/search?form=xlimg&amp;q=Greece" TargetMode="External"/><Relationship Id="rId90" Type="http://schemas.openxmlformats.org/officeDocument/2006/relationships/image" Target="../media/image30.fbb71d5e592f7fda00cf81328e03b81f"/><Relationship Id="rId95" Type="http://schemas.openxmlformats.org/officeDocument/2006/relationships/hyperlink" Target="https://www.bing.com/images/search?form=xlimg&amp;q=Morocco" TargetMode="External"/><Relationship Id="rId22" Type="http://schemas.openxmlformats.org/officeDocument/2006/relationships/hyperlink" Target="https://www.bing.com/th?id=OSK.199471a1ecd96d075745c3a5a59b289e&amp;qlt=95" TargetMode="External"/><Relationship Id="rId27" Type="http://schemas.openxmlformats.org/officeDocument/2006/relationships/image" Target="../media/image9.1edc269d232791835391410ad86aef09"/><Relationship Id="rId43" Type="http://schemas.openxmlformats.org/officeDocument/2006/relationships/hyperlink" Target="https://www.bing.com/th?id=OSK.ced05ad7f720b03979b07bac539097c8&amp;qlt=95" TargetMode="External"/><Relationship Id="rId48" Type="http://schemas.openxmlformats.org/officeDocument/2006/relationships/image" Target="../media/image16.7ea08d999100e33f03f970c4c3a5b798"/><Relationship Id="rId64" Type="http://schemas.openxmlformats.org/officeDocument/2006/relationships/hyperlink" Target="https://www.bing.com/th?id=OSK.0b6525ec30df41018acbac53e2de0e2e&amp;qlt=95" TargetMode="External"/><Relationship Id="rId69" Type="http://schemas.openxmlformats.org/officeDocument/2006/relationships/image" Target="../media/image23.b4fa71228a5f45a8646dbfa3d79d8f51"/><Relationship Id="rId113" Type="http://schemas.openxmlformats.org/officeDocument/2006/relationships/hyperlink" Target="https://www.bing.com/images/search?form=xlimg&amp;q=Chile" TargetMode="External"/><Relationship Id="rId118" Type="http://schemas.openxmlformats.org/officeDocument/2006/relationships/hyperlink" Target="https://www.bing.com/th?id=OSK.08d481ce2e6378c8b3492a5438438208&amp;qlt=95" TargetMode="External"/><Relationship Id="rId134" Type="http://schemas.openxmlformats.org/officeDocument/2006/relationships/hyperlink" Target="https://www.bing.com/images/search?form=xlimg&amp;q=Colombia" TargetMode="External"/><Relationship Id="rId139" Type="http://schemas.openxmlformats.org/officeDocument/2006/relationships/hyperlink" Target="https://www.bing.com/th?id=OSK.mTs9AdlNDLziaMN3BIhJpWCGZaOOUwqIR2jN3FJEeTw&amp;qlt=95" TargetMode="External"/><Relationship Id="rId80" Type="http://schemas.openxmlformats.org/officeDocument/2006/relationships/hyperlink" Target="https://www.bing.com/images/search?form=xlimg&amp;q=New%20Zealand" TargetMode="External"/><Relationship Id="rId85" Type="http://schemas.openxmlformats.org/officeDocument/2006/relationships/hyperlink" Target="https://www.bing.com/th?id=OSK.0e6c478df6cde6a6638a941604998dae&amp;qlt=95" TargetMode="External"/><Relationship Id="rId12" Type="http://schemas.openxmlformats.org/officeDocument/2006/relationships/image" Target="../media/image4.TKPSvA"/><Relationship Id="rId17" Type="http://schemas.openxmlformats.org/officeDocument/2006/relationships/hyperlink" Target="https://www.bing.com/images/search?form=xlimg&amp;q=South%20Korea" TargetMode="External"/><Relationship Id="rId33" Type="http://schemas.openxmlformats.org/officeDocument/2006/relationships/image" Target="../media/image11.9131f9cc50427b26d6b4964a5feb9d7e"/><Relationship Id="rId38" Type="http://schemas.openxmlformats.org/officeDocument/2006/relationships/hyperlink" Target="https://www.bing.com/images/search?form=xlimg&amp;q=France" TargetMode="External"/><Relationship Id="rId59" Type="http://schemas.openxmlformats.org/officeDocument/2006/relationships/hyperlink" Target="https://www.bing.com/images/search?form=xlimg&amp;q=Uzbekistan" TargetMode="External"/><Relationship Id="rId103" Type="http://schemas.openxmlformats.org/officeDocument/2006/relationships/hyperlink" Target="https://www.bing.com/th?id=OSK.EaGKENylPymKR2vxwyKFWGRGtGNcLXtM8meCLdtsfYI&amp;qlt=95" TargetMode="External"/><Relationship Id="rId108" Type="http://schemas.openxmlformats.org/officeDocument/2006/relationships/image" Target="../media/image36.ZoOnHeOqJlWtOexBgzWQAb3Tidw4VEw6vIATmETUcGA"/><Relationship Id="rId124" Type="http://schemas.openxmlformats.org/officeDocument/2006/relationships/hyperlink" Target="https://www.bing.com/th?id=OSK.cf17e786b97fde4860ff0b98a404701f&amp;qlt=95" TargetMode="External"/><Relationship Id="rId129" Type="http://schemas.openxmlformats.org/officeDocument/2006/relationships/image" Target="../media/image43.8zn8I87SMZQID1yeREa5ylZshLmieZDX"/><Relationship Id="rId54" Type="http://schemas.openxmlformats.org/officeDocument/2006/relationships/image" Target="../media/image18.YyStd3n6FeCyDWZVKn54i8IqezKRsFpq7XThd1PUiDk"/><Relationship Id="rId70" Type="http://schemas.openxmlformats.org/officeDocument/2006/relationships/hyperlink" Target="https://www.bing.com/th?id=OSK.3d1f7cdd2e4b04d7d59c9c2070509b97&amp;qlt=95" TargetMode="External"/><Relationship Id="rId75" Type="http://schemas.openxmlformats.org/officeDocument/2006/relationships/image" Target="../media/image25.dQRnOlTKTXrhKm9OaxUUVBGNjKK1hL9mKy8jDit9INI"/><Relationship Id="rId91" Type="http://schemas.openxmlformats.org/officeDocument/2006/relationships/hyperlink" Target="https://www.bing.com/th?id=OSK.52016c7e71aae8fe94202de7db44aaae&amp;qlt=95" TargetMode="External"/><Relationship Id="rId96" Type="http://schemas.openxmlformats.org/officeDocument/2006/relationships/image" Target="../media/image32.6d045ff0fc33a1c5f73e9eee1111d044"/><Relationship Id="rId140" Type="http://schemas.openxmlformats.org/officeDocument/2006/relationships/hyperlink" Target="https://www.bing.com/images/search?form=xlimg&amp;q=Japan" TargetMode="External"/><Relationship Id="rId1" Type="http://schemas.openxmlformats.org/officeDocument/2006/relationships/hyperlink" Target="https://www.bing.com/th?id=OSK.cd87a340e69c67ee5da36d9903955518&amp;qlt=95" TargetMode="External"/><Relationship Id="rId6" Type="http://schemas.openxmlformats.org/officeDocument/2006/relationships/image" Target="../media/image2.37868521ec6f61afb97b5ab07c93e834"/><Relationship Id="rId23" Type="http://schemas.openxmlformats.org/officeDocument/2006/relationships/hyperlink" Target="https://www.bing.com/images/search?form=xlimg&amp;q=Uganda" TargetMode="External"/><Relationship Id="rId28" Type="http://schemas.openxmlformats.org/officeDocument/2006/relationships/hyperlink" Target="https://www.bing.com/th?id=OSK.bed9fc3690f3414a4850855fee332f1c&amp;qlt=95" TargetMode="External"/><Relationship Id="rId49" Type="http://schemas.openxmlformats.org/officeDocument/2006/relationships/hyperlink" Target="https://www.bing.com/th?id=OSK.XTXAbE7wxDFfjCw-e2Beir7Q9J8U3b7w3h_waMgYnuQ&amp;qlt=95" TargetMode="External"/><Relationship Id="rId114" Type="http://schemas.openxmlformats.org/officeDocument/2006/relationships/image" Target="../media/image38.79dcfcb50bb489b9abd805e3a32b4d69"/><Relationship Id="rId119" Type="http://schemas.openxmlformats.org/officeDocument/2006/relationships/hyperlink" Target="https://www.bing.com/images/search?form=xlimg&amp;q=United%20States" TargetMode="External"/><Relationship Id="rId44" Type="http://schemas.openxmlformats.org/officeDocument/2006/relationships/hyperlink" Target="https://www.bing.com/images/search?form=xlimg&amp;q=Saudi%20Arabia" TargetMode="External"/><Relationship Id="rId60" Type="http://schemas.openxmlformats.org/officeDocument/2006/relationships/image" Target="../media/image20.79603601c02fb12e2ae6810717b92274"/><Relationship Id="rId65" Type="http://schemas.openxmlformats.org/officeDocument/2006/relationships/hyperlink" Target="https://www.bing.com/images/search?form=xlimg&amp;q=Cuba" TargetMode="External"/><Relationship Id="rId81" Type="http://schemas.openxmlformats.org/officeDocument/2006/relationships/image" Target="../media/image27.b6a5970ae3dca3a8d37948add590bac6"/><Relationship Id="rId86" Type="http://schemas.openxmlformats.org/officeDocument/2006/relationships/hyperlink" Target="https://www.bing.com/images/search?form=xlimg&amp;q=China" TargetMode="External"/><Relationship Id="rId130" Type="http://schemas.openxmlformats.org/officeDocument/2006/relationships/hyperlink" Target="https://www.bing.com/th?id=OSK.a63573e184a1dd6a203fecd8090ad2ed&amp;qlt=95" TargetMode="External"/><Relationship Id="rId135" Type="http://schemas.openxmlformats.org/officeDocument/2006/relationships/image" Target="../media/image45.ymB"/><Relationship Id="rId13" Type="http://schemas.openxmlformats.org/officeDocument/2006/relationships/hyperlink" Target="https://www.bing.com/th?id=OSK.97b5f0752136838ad1c191dacb8c1eaf&amp;qlt=95" TargetMode="External"/><Relationship Id="rId18" Type="http://schemas.openxmlformats.org/officeDocument/2006/relationships/image" Target="../media/image6.9b58152305f4db6c85bc2212a0818370"/><Relationship Id="rId39" Type="http://schemas.openxmlformats.org/officeDocument/2006/relationships/image" Target="../media/image13.IJoB2IAflCzjheZJfaz5mfzEWw5jRcoWEgDQz1yU2Yk"/><Relationship Id="rId109" Type="http://schemas.openxmlformats.org/officeDocument/2006/relationships/hyperlink" Target="https://www.bing.com/th?id=OSK.1483d9801bc2b6587105b86a471decb1&amp;qlt=95" TargetMode="External"/><Relationship Id="rId34" Type="http://schemas.openxmlformats.org/officeDocument/2006/relationships/hyperlink" Target="https://www.bing.com/th?id=OSK.a018667e848b997406b0f100e728e406&amp;qlt=95" TargetMode="External"/><Relationship Id="rId50" Type="http://schemas.openxmlformats.org/officeDocument/2006/relationships/hyperlink" Target="https://www.bing.com/images/search?form=xlimg&amp;q=Ivory%20Coast" TargetMode="External"/><Relationship Id="rId55" Type="http://schemas.openxmlformats.org/officeDocument/2006/relationships/hyperlink" Target="https://www.bing.com/th?id=OSK.94086dce43b799884caf1b5baa7e59d4&amp;qlt=95" TargetMode="External"/><Relationship Id="rId76" Type="http://schemas.openxmlformats.org/officeDocument/2006/relationships/hyperlink" Target="https://www.bing.com/th?id=OSK.58796590f9e17930a0a2840f3c535e25&amp;qlt=95" TargetMode="External"/><Relationship Id="rId97" Type="http://schemas.openxmlformats.org/officeDocument/2006/relationships/hyperlink" Target="https://www.bing.com/th?id=OSK.380316b6ec7e3f5c2fadae3206181af4&amp;qlt=95" TargetMode="External"/><Relationship Id="rId104" Type="http://schemas.openxmlformats.org/officeDocument/2006/relationships/hyperlink" Target="https://www.bing.com/images/search?form=xlimg&amp;q=Republic%20of%20Ireland" TargetMode="External"/><Relationship Id="rId120" Type="http://schemas.openxmlformats.org/officeDocument/2006/relationships/image" Target="../media/image40.08d481ce2e6378c8b3492a5438438208"/><Relationship Id="rId125" Type="http://schemas.openxmlformats.org/officeDocument/2006/relationships/hyperlink" Target="https://www.bing.com/images/search?form=xlimg&amp;q=Mexico" TargetMode="External"/><Relationship Id="rId141" Type="http://schemas.openxmlformats.org/officeDocument/2006/relationships/image" Target="../media/image47.mTs9AdlNDLziaMN3BIhJpWCGZaOOUwqIR2jN3FJEeTw"/><Relationship Id="rId7" Type="http://schemas.openxmlformats.org/officeDocument/2006/relationships/hyperlink" Target="https://www.bing.com/th?id=OSK.4b54a773b13f1918eeb48f0792a7914b&amp;qlt=95" TargetMode="External"/><Relationship Id="rId71" Type="http://schemas.openxmlformats.org/officeDocument/2006/relationships/hyperlink" Target="https://www.bing.com/images/search?form=xlimg&amp;q=Tajikistan" TargetMode="External"/><Relationship Id="rId92" Type="http://schemas.openxmlformats.org/officeDocument/2006/relationships/hyperlink" Target="https://www.bing.com/images/search?form=xlimg&amp;q=Fiji" TargetMode="External"/><Relationship Id="rId2" Type="http://schemas.openxmlformats.org/officeDocument/2006/relationships/hyperlink" Target="https://www.bing.com/images/search?form=xlimg&amp;q=Egypt" TargetMode="External"/><Relationship Id="rId29" Type="http://schemas.openxmlformats.org/officeDocument/2006/relationships/hyperlink" Target="https://www.bing.com/images/search?form=xlimg&amp;q=Australia" TargetMode="External"/><Relationship Id="rId24" Type="http://schemas.openxmlformats.org/officeDocument/2006/relationships/image" Target="../media/image8.199471a1ecd96d075745c3a5a59b289e"/><Relationship Id="rId40" Type="http://schemas.openxmlformats.org/officeDocument/2006/relationships/hyperlink" Target="https://www.bing.com/th?id=OSK.e361089b50440849361002f9124948e5&amp;qlt=95" TargetMode="External"/><Relationship Id="rId45" Type="http://schemas.openxmlformats.org/officeDocument/2006/relationships/image" Target="../media/image15.ced05ad7f720b03979b07bac539097c8"/><Relationship Id="rId66" Type="http://schemas.openxmlformats.org/officeDocument/2006/relationships/image" Target="../media/image22.0b6525ec30df41018acbac53e2de0e2e"/><Relationship Id="rId87" Type="http://schemas.openxmlformats.org/officeDocument/2006/relationships/image" Target="../media/image29.0e6c478df6cde6a6638a941604998dae"/><Relationship Id="rId110" Type="http://schemas.openxmlformats.org/officeDocument/2006/relationships/hyperlink" Target="https://www.bing.com/images/search?form=xlimg&amp;q=Algeria" TargetMode="External"/><Relationship Id="rId115" Type="http://schemas.openxmlformats.org/officeDocument/2006/relationships/hyperlink" Target="https://www.bing.com/th?id=OSK.55e18930b9f4f69172095b7b3b0671f6&amp;qlt=95" TargetMode="External"/><Relationship Id="rId131" Type="http://schemas.openxmlformats.org/officeDocument/2006/relationships/hyperlink" Target="https://www.bing.com/images/search?form=xlimg&amp;q=Venezuela" TargetMode="External"/><Relationship Id="rId136" Type="http://schemas.openxmlformats.org/officeDocument/2006/relationships/hyperlink" Target="https://www.bing.com/th?id=OSK.88c1f5be841e4632efc4c814214a60a8&amp;qlt=95" TargetMode="External"/><Relationship Id="rId61" Type="http://schemas.openxmlformats.org/officeDocument/2006/relationships/hyperlink" Target="https://www.bing.com/th?id=OSK.909e75f79c08029f7d3305071d2c5b94&amp;qlt=95" TargetMode="External"/><Relationship Id="rId82" Type="http://schemas.openxmlformats.org/officeDocument/2006/relationships/hyperlink" Target="https://www.bing.com/th?id=OSK.99c446a14ed3da5ff3816aa56e039c42&amp;qlt=95" TargetMode="External"/><Relationship Id="rId19" Type="http://schemas.openxmlformats.org/officeDocument/2006/relationships/hyperlink" Target="https://www.bing.com/th?id=OSK.1Z6krRkiRxZU6LE5-EwMKV6hxEkTZAZysUHJolKTNTE&amp;qlt=95" TargetMode="External"/><Relationship Id="rId14" Type="http://schemas.openxmlformats.org/officeDocument/2006/relationships/hyperlink" Target="https://www.bing.com/images/search?form=xlimg&amp;q=Ecuador" TargetMode="External"/><Relationship Id="rId30" Type="http://schemas.openxmlformats.org/officeDocument/2006/relationships/image" Target="../media/image10.bed9fc3690f3414a4850855fee332f1c"/><Relationship Id="rId35" Type="http://schemas.openxmlformats.org/officeDocument/2006/relationships/hyperlink" Target="https://www.bing.com/images/search?form=xlimg&amp;q=Mozambique" TargetMode="External"/><Relationship Id="rId56" Type="http://schemas.openxmlformats.org/officeDocument/2006/relationships/hyperlink" Target="https://www.bing.com/images/search?form=xlimg&amp;q=Jamaica" TargetMode="External"/><Relationship Id="rId77" Type="http://schemas.openxmlformats.org/officeDocument/2006/relationships/hyperlink" Target="https://www.bing.com/images/search?form=xlimg&amp;q=Mali" TargetMode="External"/><Relationship Id="rId100" Type="http://schemas.openxmlformats.org/officeDocument/2006/relationships/hyperlink" Target="https://www.bing.com/th?id=OSK.gJeCTvNOFIBVadKJtyVRcViTN1SUrr5tzlDNF8aH4ko&amp;qlt=95" TargetMode="External"/><Relationship Id="rId105" Type="http://schemas.openxmlformats.org/officeDocument/2006/relationships/image" Target="../media/image35.EaGKENylPymKR2vxwyKFWGRGtGNcLXtM8meCLdtsfYI"/><Relationship Id="rId126" Type="http://schemas.openxmlformats.org/officeDocument/2006/relationships/image" Target="../media/image42.cf17e786b97fde4860ff0b98a404701f"/><Relationship Id="rId8" Type="http://schemas.openxmlformats.org/officeDocument/2006/relationships/hyperlink" Target="https://www.bing.com/images/search?form=xlimg&amp;q=Panama" TargetMode="External"/><Relationship Id="rId51" Type="http://schemas.openxmlformats.org/officeDocument/2006/relationships/image" Target="../media/image17.XTXAbE7wxDFfjCw"/><Relationship Id="rId72" Type="http://schemas.openxmlformats.org/officeDocument/2006/relationships/image" Target="../media/image24.3d1f7cdd2e4b04d7d59c9c2070509b97"/><Relationship Id="rId93" Type="http://schemas.openxmlformats.org/officeDocument/2006/relationships/image" Target="../media/image31.52016c7e71aae8fe94202de7db44aaae"/><Relationship Id="rId98" Type="http://schemas.openxmlformats.org/officeDocument/2006/relationships/hyperlink" Target="https://www.bing.com/images/search?form=xlimg&amp;q=Brazil" TargetMode="External"/><Relationship Id="rId121" Type="http://schemas.openxmlformats.org/officeDocument/2006/relationships/hyperlink" Target="https://www.bing.com/th?id=OSK.45468b20d1a6bac3d3c1ed00258ea889&amp;qlt=95" TargetMode="External"/><Relationship Id="rId142" Type="http://schemas.openxmlformats.org/officeDocument/2006/relationships/hyperlink" Target="https://www.bing.com/th?id=OSK.c487ba4ced6ceb655b94fb1585b38896&amp;qlt=95" TargetMode="External"/><Relationship Id="rId3" Type="http://schemas.openxmlformats.org/officeDocument/2006/relationships/image" Target="../media/image1.cd87a340e69c67ee5da36d9903955518"/><Relationship Id="rId25" Type="http://schemas.openxmlformats.org/officeDocument/2006/relationships/hyperlink" Target="https://www.bing.com/th?id=OSK.1edc269d232791835391410ad86aef09&amp;qlt=95" TargetMode="External"/><Relationship Id="rId46" Type="http://schemas.openxmlformats.org/officeDocument/2006/relationships/hyperlink" Target="https://www.bing.com/th?id=OSK.7ea08d999100e33f03f970c4c3a5b798&amp;qlt=95" TargetMode="External"/><Relationship Id="rId67" Type="http://schemas.openxmlformats.org/officeDocument/2006/relationships/hyperlink" Target="https://www.bing.com/th?id=OSK.b4fa71228a5f45a8646dbfa3d79d8f51&amp;qlt=95" TargetMode="External"/><Relationship Id="rId116" Type="http://schemas.openxmlformats.org/officeDocument/2006/relationships/hyperlink" Target="https://www.bing.com/images/search?form=xlimg&amp;q=Montenegro" TargetMode="External"/><Relationship Id="rId137" Type="http://schemas.openxmlformats.org/officeDocument/2006/relationships/hyperlink" Target="https://www.bing.com/images/search?form=xlimg&amp;q=Honduras" TargetMode="External"/><Relationship Id="rId20" Type="http://schemas.openxmlformats.org/officeDocument/2006/relationships/hyperlink" Target="https://www.bing.com/images/search?form=xlimg&amp;q=New%20Caledonia" TargetMode="External"/><Relationship Id="rId41" Type="http://schemas.openxmlformats.org/officeDocument/2006/relationships/hyperlink" Target="https://www.bing.com/images/search?form=xlimg&amp;q=Haiti" TargetMode="External"/><Relationship Id="rId62" Type="http://schemas.openxmlformats.org/officeDocument/2006/relationships/hyperlink" Target="https://www.bing.com/images/search?form=xlimg&amp;q=Croatia" TargetMode="External"/><Relationship Id="rId83" Type="http://schemas.openxmlformats.org/officeDocument/2006/relationships/hyperlink" Target="https://www.bing.com/images/search?form=xlimg&amp;q=Vietnam" TargetMode="External"/><Relationship Id="rId88" Type="http://schemas.openxmlformats.org/officeDocument/2006/relationships/hyperlink" Target="https://www.bing.com/th?id=OSK.fbb71d5e592f7fda00cf81328e03b81f&amp;qlt=95" TargetMode="External"/><Relationship Id="rId111" Type="http://schemas.openxmlformats.org/officeDocument/2006/relationships/image" Target="../media/image37.1483d9801bc2b6587105b86a471decb1"/><Relationship Id="rId132" Type="http://schemas.openxmlformats.org/officeDocument/2006/relationships/image" Target="../media/image44.a63573e184a1dd6a203fecd8090ad2ed"/><Relationship Id="rId15" Type="http://schemas.openxmlformats.org/officeDocument/2006/relationships/image" Target="../media/image5.97b5f0752136838ad1c191dacb8c1eaf"/><Relationship Id="rId36" Type="http://schemas.openxmlformats.org/officeDocument/2006/relationships/image" Target="../media/image12.a018667e848b997406b0f100e728e406"/><Relationship Id="rId57" Type="http://schemas.openxmlformats.org/officeDocument/2006/relationships/image" Target="../media/image19.94086dce43b799884caf1b5baa7e59d4"/><Relationship Id="rId106" Type="http://schemas.openxmlformats.org/officeDocument/2006/relationships/hyperlink" Target="https://www.bing.com/th?id=OSK.ZoOnHeOqJlWtOexBgzWQAb3Tidw4VEw6vIATmETUcGA&amp;qlt=95" TargetMode="External"/><Relationship Id="rId127" Type="http://schemas.openxmlformats.org/officeDocument/2006/relationships/hyperlink" Target="https://www.bing.com/th?id=OSK.8zn8I87SMZQID1yeREa5ylZshLmieZDX-S-9EZ_xfG8&amp;qlt=95" TargetMode="External"/><Relationship Id="rId10" Type="http://schemas.openxmlformats.org/officeDocument/2006/relationships/hyperlink" Target="https://www.bing.com/th?id=OSK.TKPSvA-OAW5BarXuVnMs5lQ98P7sJ7maF0Rpbm4vILE&amp;qlt=95" TargetMode="External"/><Relationship Id="rId31" Type="http://schemas.openxmlformats.org/officeDocument/2006/relationships/hyperlink" Target="https://www.bing.com/th?id=OSK.9131f9cc50427b26d6b4964a5feb9d7e&amp;qlt=95" TargetMode="External"/><Relationship Id="rId52" Type="http://schemas.openxmlformats.org/officeDocument/2006/relationships/hyperlink" Target="https://www.bing.com/th?id=OSK.YyStd3n6FeCyDWZVKn54i8IqezKRsFpq7XThd1PUiDk&amp;qlt=95" TargetMode="External"/><Relationship Id="rId73" Type="http://schemas.openxmlformats.org/officeDocument/2006/relationships/hyperlink" Target="https://www.bing.com/th?id=OSK.dQRnOlTKTXrhKm9OaxUUVBGNjKK1hL9mKy8jDit9INI&amp;qlt=95" TargetMode="External"/><Relationship Id="rId78" Type="http://schemas.openxmlformats.org/officeDocument/2006/relationships/image" Target="../media/image26.58796590f9e17930a0a2840f3c535e25"/><Relationship Id="rId94" Type="http://schemas.openxmlformats.org/officeDocument/2006/relationships/hyperlink" Target="https://www.bing.com/th?id=OSK.6d045ff0fc33a1c5f73e9eee1111d044&amp;qlt=95" TargetMode="External"/><Relationship Id="rId99" Type="http://schemas.openxmlformats.org/officeDocument/2006/relationships/image" Target="../media/image33.380316b6ec7e3f5c2fadae3206181af4"/><Relationship Id="rId101" Type="http://schemas.openxmlformats.org/officeDocument/2006/relationships/hyperlink" Target="https://www.bing.com/images/search?form=xlimg&amp;q=Costa%20Rica" TargetMode="External"/><Relationship Id="rId122" Type="http://schemas.openxmlformats.org/officeDocument/2006/relationships/hyperlink" Target="https://www.bing.com/images/search?form=xlimg&amp;q=Cameroon" TargetMode="External"/><Relationship Id="rId143" Type="http://schemas.openxmlformats.org/officeDocument/2006/relationships/hyperlink" Target="https://www.bing.com/images/search?form=xlimg&amp;q=Serbia" TargetMode="External"/><Relationship Id="rId4" Type="http://schemas.openxmlformats.org/officeDocument/2006/relationships/hyperlink" Target="https://www.bing.com/th?id=OSK.37868521ec6f61afb97b5ab07c93e834&amp;qlt=95" TargetMode="External"/><Relationship Id="rId9" Type="http://schemas.openxmlformats.org/officeDocument/2006/relationships/image" Target="../media/image3.4b54a773b13f1918eeb48f0792a7914b"/><Relationship Id="rId26" Type="http://schemas.openxmlformats.org/officeDocument/2006/relationships/hyperlink" Target="https://www.bing.com/images/search?form=xlimg&amp;q=Argentina" TargetMode="External"/><Relationship Id="rId47" Type="http://schemas.openxmlformats.org/officeDocument/2006/relationships/hyperlink" Target="https://www.bing.com/images/search?form=xlimg&amp;q=Uruguay" TargetMode="External"/><Relationship Id="rId68" Type="http://schemas.openxmlformats.org/officeDocument/2006/relationships/hyperlink" Target="https://www.bing.com/images/search?form=xlimg&amp;q=Senegal" TargetMode="External"/><Relationship Id="rId89" Type="http://schemas.openxmlformats.org/officeDocument/2006/relationships/hyperlink" Target="https://www.bing.com/images/search?form=xlimg&amp;q=Spain" TargetMode="External"/><Relationship Id="rId112" Type="http://schemas.openxmlformats.org/officeDocument/2006/relationships/hyperlink" Target="https://www.bing.com/th?id=OSK.79dcfcb50bb489b9abd805e3a32b4d69&amp;qlt=95" TargetMode="External"/><Relationship Id="rId133" Type="http://schemas.openxmlformats.org/officeDocument/2006/relationships/hyperlink" Target="https://www.bing.com/th?id=OSK.ymB-aUlVtIPobu-J0CqOfis9WIfVxNvQ7P37PoJG0Dw&amp;qlt=95" TargetMode="External"/><Relationship Id="rId16" Type="http://schemas.openxmlformats.org/officeDocument/2006/relationships/hyperlink" Target="https://www.bing.com/th?id=OSK.9b58152305f4db6c85bc2212a0818370&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blip r:id="rId6"/>
  </webImageSrd>
  <webImageSrd>
    <address r:id="rId7"/>
    <moreImagesAddress r:id="rId8"/>
    <blip r:id="rId9"/>
  </webImageSrd>
  <webImageSrd>
    <address r:id="rId10"/>
    <moreImagesAddress r:id="rId11"/>
    <blip r:id="rId12"/>
  </webImageSrd>
  <webImageSrd>
    <address r:id="rId13"/>
    <moreImagesAddress r:id="rId14"/>
    <blip r:id="rId15"/>
  </webImageSrd>
  <webImageSrd>
    <address r:id="rId16"/>
    <moreImagesAddress r:id="rId17"/>
    <blip r:id="rId18"/>
  </webImageSrd>
  <webImageSrd>
    <address r:id="rId19"/>
    <moreImagesAddress r:id="rId20"/>
    <blip r:id="rId21"/>
  </webImageSrd>
  <webImageSrd>
    <address r:id="rId22"/>
    <moreImagesAddress r:id="rId23"/>
    <blip r:id="rId24"/>
  </webImageSrd>
  <webImageSrd>
    <address r:id="rId25"/>
    <moreImagesAddress r:id="rId26"/>
    <blip r:id="rId27"/>
  </webImageSrd>
  <webImageSrd>
    <address r:id="rId28"/>
    <moreImagesAddress r:id="rId29"/>
    <blip r:id="rId30"/>
  </webImageSrd>
  <webImageSrd>
    <address r:id="rId31"/>
    <moreImagesAddress r:id="rId32"/>
    <blip r:id="rId33"/>
  </webImageSrd>
  <webImageSrd>
    <address r:id="rId34"/>
    <moreImagesAddress r:id="rId35"/>
    <blip r:id="rId36"/>
  </webImageSrd>
  <webImageSrd>
    <address r:id="rId37"/>
    <moreImagesAddress r:id="rId38"/>
    <blip r:id="rId39"/>
  </webImageSrd>
  <webImageSrd>
    <address r:id="rId40"/>
    <moreImagesAddress r:id="rId41"/>
    <blip r:id="rId42"/>
  </webImageSrd>
  <webImageSrd>
    <address r:id="rId43"/>
    <moreImagesAddress r:id="rId44"/>
    <blip r:id="rId45"/>
  </webImageSrd>
  <webImageSrd>
    <address r:id="rId46"/>
    <moreImagesAddress r:id="rId47"/>
    <blip r:id="rId48"/>
  </webImageSrd>
  <webImageSrd>
    <address r:id="rId49"/>
    <moreImagesAddress r:id="rId50"/>
    <blip r:id="rId51"/>
  </webImageSrd>
  <webImageSrd>
    <address r:id="rId52"/>
    <moreImagesAddress r:id="rId53"/>
    <blip r:id="rId54"/>
  </webImageSrd>
  <webImageSrd>
    <address r:id="rId55"/>
    <moreImagesAddress r:id="rId56"/>
    <blip r:id="rId57"/>
  </webImageSrd>
  <webImageSrd>
    <address r:id="rId58"/>
    <moreImagesAddress r:id="rId59"/>
    <blip r:id="rId60"/>
  </webImageSrd>
  <webImageSrd>
    <address r:id="rId61"/>
    <moreImagesAddress r:id="rId62"/>
    <blip r:id="rId63"/>
  </webImageSrd>
  <webImageSrd>
    <address r:id="rId64"/>
    <moreImagesAddress r:id="rId65"/>
    <blip r:id="rId66"/>
  </webImageSrd>
  <webImageSrd>
    <address r:id="rId67"/>
    <moreImagesAddress r:id="rId68"/>
    <blip r:id="rId69"/>
  </webImageSrd>
  <webImageSrd>
    <address r:id="rId70"/>
    <moreImagesAddress r:id="rId71"/>
    <blip r:id="rId72"/>
  </webImageSrd>
  <webImageSrd>
    <address r:id="rId73"/>
    <moreImagesAddress r:id="rId74"/>
    <blip r:id="rId75"/>
  </webImageSrd>
  <webImageSrd>
    <address r:id="rId76"/>
    <moreImagesAddress r:id="rId77"/>
    <blip r:id="rId78"/>
  </webImageSrd>
  <webImageSrd>
    <address r:id="rId79"/>
    <moreImagesAddress r:id="rId80"/>
    <blip r:id="rId81"/>
  </webImageSrd>
  <webImageSrd>
    <address r:id="rId82"/>
    <moreImagesAddress r:id="rId83"/>
    <blip r:id="rId84"/>
  </webImageSrd>
  <webImageSrd>
    <address r:id="rId85"/>
    <moreImagesAddress r:id="rId86"/>
    <blip r:id="rId87"/>
  </webImageSrd>
  <webImageSrd>
    <address r:id="rId88"/>
    <moreImagesAddress r:id="rId89"/>
    <blip r:id="rId90"/>
  </webImageSrd>
  <webImageSrd>
    <address r:id="rId91"/>
    <moreImagesAddress r:id="rId92"/>
    <blip r:id="rId93"/>
  </webImageSrd>
  <webImageSrd>
    <address r:id="rId94"/>
    <moreImagesAddress r:id="rId95"/>
    <blip r:id="rId96"/>
  </webImageSrd>
  <webImageSrd>
    <address r:id="rId97"/>
    <moreImagesAddress r:id="rId98"/>
    <blip r:id="rId99"/>
  </webImageSrd>
  <webImageSrd>
    <address r:id="rId100"/>
    <moreImagesAddress r:id="rId101"/>
    <blip r:id="rId102"/>
  </webImageSrd>
  <webImageSrd>
    <address r:id="rId103"/>
    <moreImagesAddress r:id="rId104"/>
    <blip r:id="rId105"/>
  </webImageSrd>
  <webImageSrd>
    <address r:id="rId106"/>
    <moreImagesAddress r:id="rId107"/>
    <blip r:id="rId108"/>
  </webImageSrd>
  <webImageSrd>
    <address r:id="rId109"/>
    <moreImagesAddress r:id="rId110"/>
    <blip r:id="rId111"/>
  </webImageSrd>
  <webImageSrd>
    <address r:id="rId112"/>
    <moreImagesAddress r:id="rId113"/>
    <blip r:id="rId114"/>
  </webImageSrd>
  <webImageSrd>
    <address r:id="rId115"/>
    <moreImagesAddress r:id="rId116"/>
    <blip r:id="rId117"/>
  </webImageSrd>
  <webImageSrd>
    <address r:id="rId118"/>
    <moreImagesAddress r:id="rId119"/>
    <blip r:id="rId120"/>
  </webImageSrd>
  <webImageSrd>
    <address r:id="rId121"/>
    <moreImagesAddress r:id="rId122"/>
    <blip r:id="rId123"/>
  </webImageSrd>
  <webImageSrd>
    <address r:id="rId124"/>
    <moreImagesAddress r:id="rId125"/>
    <blip r:id="rId126"/>
  </webImageSrd>
  <webImageSrd>
    <address r:id="rId127"/>
    <moreImagesAddress r:id="rId128"/>
    <blip r:id="rId129"/>
  </webImageSrd>
  <webImageSrd>
    <address r:id="rId130"/>
    <moreImagesAddress r:id="rId131"/>
    <blip r:id="rId132"/>
  </webImageSrd>
  <webImageSrd>
    <address r:id="rId133"/>
    <moreImagesAddress r:id="rId134"/>
    <blip r:id="rId135"/>
  </webImageSrd>
  <webImageSrd>
    <address r:id="rId136"/>
    <moreImagesAddress r:id="rId137"/>
    <blip r:id="rId138"/>
  </webImageSrd>
  <webImageSrd>
    <address r:id="rId139"/>
    <moreImagesAddress r:id="rId140"/>
    <blip r:id="rId141"/>
  </webImageSrd>
  <webImageSrd>
    <address r:id="rId142"/>
    <moreImagesAddress r:id="rId143"/>
    <blip r:id="rId144"/>
  </webImageSrd>
</webImagesSrd>
</file>

<file path=xl/richData/rdarray.xml><?xml version="1.0" encoding="utf-8"?>
<arrayData xmlns="http://schemas.microsoft.com/office/spreadsheetml/2017/richdata2" count="172">
  <a r="2">
    <v t="r">20</v>
    <v t="r">21</v>
  </a>
  <a r="1">
    <v t="s">Modern Standard Arabic</v>
  </a>
  <a r="28">
    <v t="r">39</v>
    <v t="r">40</v>
    <v t="r">41</v>
    <v t="r">42</v>
    <v t="r">43</v>
    <v t="r">44</v>
    <v t="r">45</v>
    <v t="r">46</v>
    <v t="r">47</v>
    <v t="r">48</v>
    <v t="r">49</v>
    <v t="r">50</v>
    <v t="r">51</v>
    <v t="r">52</v>
    <v t="r">53</v>
    <v t="r">54</v>
    <v t="r">55</v>
    <v t="r">56</v>
    <v t="r">57</v>
    <v t="r">58</v>
    <v t="r">59</v>
    <v t="r">60</v>
    <v t="r">61</v>
    <v t="r">62</v>
    <v t="r">63</v>
    <v t="r">64</v>
    <v t="r">65</v>
    <v t="r">66</v>
  </a>
  <a r="2">
    <v t="s">UTC+03:00</v>
    <v t="s">UTC+02:00</v>
  </a>
  <a r="2">
    <v t="r">95</v>
    <v t="r">96</v>
  </a>
  <a r="1">
    <v t="s">Greek language</v>
  </a>
  <a r="12">
    <v t="r">115</v>
    <v t="r">116</v>
    <v t="r">117</v>
    <v t="r">118</v>
    <v t="r">119</v>
    <v t="r">120</v>
    <v t="r">121</v>
    <v t="r">122</v>
    <v t="r">123</v>
    <v t="r">124</v>
    <v t="r">125</v>
    <v t="r">126</v>
  </a>
  <a r="4">
    <v t="s">UTC+03:00</v>
    <v t="s">Eastern European Summer Time</v>
    <v t="s">UTC+02:00</v>
    <v t="s">Eastern European Time</v>
  </a>
  <a r="1">
    <v t="r">155</v>
  </a>
  <a r="1">
    <v t="s">Panamanian Spanish</v>
  </a>
  <a r="14">
    <v t="r">174</v>
    <v t="r">175</v>
    <v t="r">176</v>
    <v t="r">177</v>
    <v t="r">178</v>
    <v t="r">179</v>
    <v t="r">180</v>
    <v t="r">181</v>
    <v t="r">182</v>
    <v t="r">183</v>
    <v t="r">184</v>
    <v t="r">185</v>
    <v t="r">186</v>
    <v t="r">187</v>
  </a>
  <a r="1">
    <v t="s">UTC−05:00</v>
  </a>
  <a r="2">
    <v t="r">214</v>
    <v t="r">215</v>
  </a>
  <a r="1">
    <v t="s">Arabic</v>
  </a>
  <a r="7">
    <v t="r">226</v>
    <v t="r">227</v>
    <v t="r">228</v>
    <v t="r">229</v>
    <v t="r">230</v>
    <v t="r">231</v>
    <v t="r">232</v>
  </a>
  <a r="1">
    <v t="s">UTC+03:00</v>
  </a>
  <a r="2">
    <v t="r">262</v>
    <v t="r">263</v>
  </a>
  <a r="1">
    <v t="s">Spanish language</v>
  </a>
  <a r="24">
    <v t="r">281</v>
    <v t="r">282</v>
    <v t="r">283</v>
    <v t="r">284</v>
    <v t="r">285</v>
    <v t="r">286</v>
    <v t="r">287</v>
    <v t="r">288</v>
    <v t="r">289</v>
    <v t="r">290</v>
    <v t="r">291</v>
    <v t="r">292</v>
    <v t="r">293</v>
    <v t="r">294</v>
    <v t="r">295</v>
    <v t="r">296</v>
    <v t="r">297</v>
    <v t="r">298</v>
    <v t="r">299</v>
    <v t="r">300</v>
    <v t="r">301</v>
    <v t="r">302</v>
    <v t="r">303</v>
    <v t="r">304</v>
  </a>
  <a r="2">
    <v t="r">330</v>
    <v t="r">331</v>
  </a>
  <a r="2">
    <v t="s">Korean Sign Language</v>
    <v t="s">Korean language</v>
  </a>
  <a r="17">
    <v t="r">316</v>
    <v t="r">350</v>
    <v t="r">351</v>
    <v t="r">352</v>
    <v t="r">353</v>
    <v t="r">354</v>
    <v t="r">355</v>
    <v t="r">356</v>
    <v t="r">357</v>
    <v t="r">358</v>
    <v t="r">359</v>
    <v t="r">360</v>
    <v t="r">361</v>
    <v t="r">362</v>
    <v t="r">363</v>
    <v t="r">364</v>
    <v t="r">365</v>
  </a>
  <a r="1">
    <v t="s">Time in South Korea</v>
  </a>
  <a r="1">
    <v t="r">387</v>
  </a>
  <a r="1">
    <v t="s">French language</v>
  </a>
  <a r="33">
    <v t="r">395</v>
    <v t="r">396</v>
    <v t="r">397</v>
    <v t="r">398</v>
    <v t="r">399</v>
    <v t="r">400</v>
    <v t="r">401</v>
    <v t="r">402</v>
    <v t="r">403</v>
    <v t="r">404</v>
    <v t="r">405</v>
    <v t="r">406</v>
    <v t="r">407</v>
    <v t="r">408</v>
    <v t="r">409</v>
    <v t="r">410</v>
    <v t="r">411</v>
    <v t="r">379</v>
    <v t="r">412</v>
    <v t="r">413</v>
    <v t="r">414</v>
    <v t="r">415</v>
    <v t="r">416</v>
    <v t="r">417</v>
    <v t="r">418</v>
    <v t="r">419</v>
    <v t="r">420</v>
    <v t="r">421</v>
    <v t="r">422</v>
    <v t="r">423</v>
    <v t="r">424</v>
    <v t="r">425</v>
    <v t="r">426</v>
  </a>
  <a r="1">
    <v t="s">UTC+11:00</v>
  </a>
  <a r="3">
    <v t="r">451</v>
    <v t="r">452</v>
    <v t="r">453</v>
  </a>
  <a r="2">
    <v t="s">Ugandan English</v>
    <v t="s">Swahili</v>
  </a>
  <a r="112">
    <v t="r">471</v>
    <v t="r">472</v>
    <v t="r">473</v>
    <v t="r">474</v>
    <v t="r">475</v>
    <v t="r">476</v>
    <v t="r">477</v>
    <v t="r">478</v>
    <v t="r">479</v>
    <v t="r">480</v>
    <v t="r">481</v>
    <v t="r">482</v>
    <v t="r">483</v>
    <v t="r">484</v>
    <v t="r">485</v>
    <v t="r">486</v>
    <v t="r">487</v>
    <v t="r">488</v>
    <v t="r">489</v>
    <v t="r">490</v>
    <v t="r">491</v>
    <v t="r">492</v>
    <v t="r">493</v>
    <v t="r">494</v>
    <v t="r">495</v>
    <v t="r">496</v>
    <v t="r">497</v>
    <v t="r">498</v>
    <v t="r">499</v>
    <v t="r">500</v>
    <v t="r">501</v>
    <v t="r">502</v>
    <v t="r">503</v>
    <v t="r">504</v>
    <v t="r">505</v>
    <v t="r">506</v>
    <v t="r">507</v>
    <v t="r">508</v>
    <v t="r">509</v>
    <v t="r">510</v>
    <v t="r">511</v>
    <v t="r">512</v>
    <v t="r">513</v>
    <v t="r">514</v>
    <v t="r">515</v>
    <v t="r">516</v>
    <v t="r">517</v>
    <v t="r">518</v>
    <v t="r">519</v>
    <v t="r">520</v>
    <v t="r">521</v>
    <v t="r">522</v>
    <v t="r">523</v>
    <v t="r">524</v>
    <v t="r">525</v>
    <v t="r">526</v>
    <v t="r">527</v>
    <v t="r">528</v>
    <v t="r">529</v>
    <v t="r">530</v>
    <v t="r">531</v>
    <v t="r">532</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a>
  <a r="1">
    <v t="s">Africa/Kampala</v>
  </a>
  <a r="2">
    <v t="r">611</v>
    <v t="r">612</v>
  </a>
  <a r="1">
    <v t="s">Rioplatense Spanish</v>
  </a>
  <a r="23">
    <v t="r">630</v>
    <v t="r">631</v>
    <v t="r">632</v>
    <v t="r">633</v>
    <v t="r">634</v>
    <v t="r">635</v>
    <v t="r">636</v>
    <v t="r">637</v>
    <v t="r">638</v>
    <v t="r">639</v>
    <v t="r">640</v>
    <v t="r">641</v>
    <v t="r">642</v>
    <v t="r">643</v>
    <v t="r">644</v>
    <v t="r">645</v>
    <v t="r">646</v>
    <v t="r">647</v>
    <v t="r">648</v>
    <v t="r">649</v>
    <v t="r">650</v>
    <v t="r">651</v>
    <v t="r">652</v>
  </a>
  <a r="1">
    <v t="s">Time in Argentina</v>
  </a>
  <a r="2">
    <v t="r">682</v>
    <v t="r">683</v>
  </a>
  <a r="1">
    <v t="s">Australian English</v>
  </a>
  <a r="15">
    <v t="r">702</v>
    <v t="r">703</v>
    <v t="r">704</v>
    <v t="r">705</v>
    <v t="r">706</v>
    <v t="r">707</v>
    <v t="r">708</v>
    <v t="r">709</v>
    <v t="r">710</v>
    <v t="r">711</v>
    <v t="r">712</v>
    <v t="r">713</v>
    <v t="r">714</v>
    <v t="r">715</v>
    <v t="r">716</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744</v>
    <v t="r">745</v>
  </a>
  <a r="1">
    <v t="s">Danish language</v>
  </a>
  <a r="5">
    <v t="r">763</v>
    <v t="r">764</v>
    <v t="r">765</v>
    <v t="r">766</v>
    <v t="r">767</v>
  </a>
  <a r="1">
    <v t="s">Central European Time</v>
  </a>
  <a r="2">
    <v t="r">795</v>
    <v t="r">796</v>
  </a>
  <a r="1">
    <v t="s">Portuguese language</v>
  </a>
  <a r="11">
    <v t="r">813</v>
    <v t="r">814</v>
    <v t="r">815</v>
    <v t="r">816</v>
    <v t="r">781</v>
    <v t="r">817</v>
    <v t="r">818</v>
    <v t="r">819</v>
    <v t="r">820</v>
    <v t="r">821</v>
    <v t="r">822</v>
  </a>
  <a r="1">
    <v t="s">Africa/Maputo</v>
  </a>
  <a r="2">
    <v t="r">387</v>
    <v t="r">851</v>
  </a>
  <a r="25">
    <v t="r">867</v>
    <v t="r">868</v>
    <v t="r">869</v>
    <v t="r">870</v>
    <v t="r">871</v>
    <v t="r">872</v>
    <v t="r">873</v>
    <v t="r">874</v>
    <v t="r">875</v>
    <v t="r">876</v>
    <v t="r">877</v>
    <v t="r">878</v>
    <v t="r">879</v>
    <v t="r">374</v>
    <v t="r">880</v>
    <v t="r">881</v>
    <v t="r">882</v>
    <v t="r">883</v>
    <v t="r">884</v>
    <v t="r">885</v>
    <v t="r">886</v>
    <v t="r">887</v>
    <v t="r">888</v>
    <v t="r">889</v>
    <v t="r">890</v>
  </a>
  <a r="1">
    <v t="r">918</v>
  </a>
  <a r="2">
    <v t="s">Haitian French</v>
    <v t="s">Haitian Creole</v>
  </a>
  <a r="10">
    <v t="r">935</v>
    <v t="r">936</v>
    <v t="r">937</v>
    <v t="r">938</v>
    <v t="r">939</v>
    <v t="r">940</v>
    <v t="r">941</v>
    <v t="r">942</v>
    <v t="r">943</v>
    <v t="r">944</v>
  </a>
  <a r="2">
    <v t="r">970</v>
    <v t="r">971</v>
  </a>
  <a r="13">
    <v t="r">982</v>
    <v t="r">983</v>
    <v t="r">984</v>
    <v t="r">985</v>
    <v t="r">986</v>
    <v t="r">987</v>
    <v t="r">988</v>
    <v t="r">989</v>
    <v t="r">990</v>
    <v t="r">991</v>
    <v t="r">992</v>
    <v t="r">993</v>
    <v t="r">994</v>
  </a>
  <a r="2">
    <v t="r">1021</v>
    <v t="r">1022</v>
  </a>
  <a r="2">
    <v t="s">Rioplatense Spanish</v>
    <v t="s">Uruguayan Sign Language</v>
  </a>
  <a r="19">
    <v t="r">1040</v>
    <v t="r">1041</v>
    <v t="r">1042</v>
    <v t="r">1043</v>
    <v t="r">1044</v>
    <v t="r">1045</v>
    <v t="r">1046</v>
    <v t="r">1047</v>
    <v t="r">1048</v>
    <v t="r">1049</v>
    <v t="r">1050</v>
    <v t="r">1051</v>
    <v t="r">1052</v>
    <v t="r">1053</v>
    <v t="r">1054</v>
    <v t="r">1055</v>
    <v t="r">1056</v>
    <v t="r">1057</v>
    <v t="r">1058</v>
  </a>
  <a r="1">
    <v t="s">UTC−03:00</v>
  </a>
  <a r="3">
    <v t="r">1087</v>
    <v t="r">1088</v>
    <v t="r">1089</v>
  </a>
  <a r="1">
    <v t="s">African French</v>
  </a>
  <a r="1">
    <v t="s">Africa/Abidjan</v>
  </a>
  <a r="2">
    <v t="r">1133</v>
    <v t="r">1134</v>
  </a>
  <a r="1">
    <v t="s">Italian language</v>
  </a>
  <a r="20">
    <v t="r">1149</v>
    <v t="r">1150</v>
    <v t="r">1151</v>
    <v t="r">1152</v>
    <v t="r">1153</v>
    <v t="r">1154</v>
    <v t="r">1155</v>
    <v t="r">1156</v>
    <v t="r">1157</v>
    <v t="r">1158</v>
    <v t="r">1159</v>
    <v t="r">1160</v>
    <v t="r">1161</v>
    <v t="r">1162</v>
    <v t="r">1163</v>
    <v t="r">1164</v>
    <v t="r">1165</v>
    <v t="r">1166</v>
    <v t="r">1167</v>
    <v t="r">1168</v>
  </a>
  <a r="2">
    <v t="s">UTC+02:00</v>
    <v t="s">UTC+01:00</v>
  </a>
  <a r="2">
    <v t="r">682</v>
    <v t="r">1197</v>
  </a>
  <a r="1">
    <v t="s">Jamaican English</v>
  </a>
  <a r="2">
    <v t="r">1214</v>
    <v t="r">1215</v>
  </a>
  <a r="2">
    <v t="r">1241</v>
    <v t="r">1242</v>
  </a>
  <a r="1">
    <v t="s">Uzbek language</v>
  </a>
  <a r="14">
    <v t="r">1229</v>
    <v t="r">1257</v>
    <v t="r">1258</v>
    <v t="r">1259</v>
    <v t="r">1260</v>
    <v t="r">1261</v>
    <v t="r">1262</v>
    <v t="r">1263</v>
    <v t="r">1264</v>
    <v t="r">1265</v>
    <v t="r">1266</v>
    <v t="r">1267</v>
    <v t="r">1268</v>
    <v t="r">1269</v>
  </a>
  <a r="1">
    <v t="s">UTC+05:00</v>
  </a>
  <a r="2">
    <v t="r">1297</v>
    <v t="r">1298</v>
  </a>
  <a r="1">
    <v t="s">Croatian language</v>
  </a>
  <a r="21">
    <v t="r">1315</v>
    <v t="r">1316</v>
    <v t="r">1317</v>
    <v t="r">1318</v>
    <v t="r">1319</v>
    <v t="r">1320</v>
    <v t="r">1321</v>
    <v t="r">1322</v>
    <v t="r">1323</v>
    <v t="r">1324</v>
    <v t="r">1325</v>
    <v t="r">1326</v>
    <v t="r">1327</v>
    <v t="r">1328</v>
    <v t="r">1329</v>
    <v t="r">1330</v>
    <v t="r">1331</v>
    <v t="r">1332</v>
    <v t="r">1333</v>
    <v t="r">1334</v>
    <v t="r">1284</v>
  </a>
  <a r="3">
    <v t="s">Central European Time</v>
    <v t="s">UTC+02:00</v>
    <v t="s">UTC+01:00</v>
  </a>
  <a r="4">
    <v t="r">1361</v>
    <v t="r">1362</v>
    <v t="r">1363</v>
    <v t="r">1364</v>
  </a>
  <a r="1">
    <v t="s">Cuban Spanish</v>
  </a>
  <a r="16">
    <v t="r">1374</v>
    <v t="r">1375</v>
    <v t="r">1376</v>
    <v t="r">1377</v>
    <v t="r">1378</v>
    <v t="r">1379</v>
    <v t="r">1380</v>
    <v t="r">1381</v>
    <v t="r">1382</v>
    <v t="r">1383</v>
    <v t="r">1384</v>
    <v t="r">1385</v>
    <v t="r">1386</v>
    <v t="r">1387</v>
    <v t="r">1388</v>
    <v t="r">1389</v>
  </a>
  <a r="2">
    <v t="r">1415</v>
    <v t="r">1416</v>
  </a>
  <a r="14">
    <v t="r">1430</v>
    <v t="r">1431</v>
    <v t="r">1432</v>
    <v t="r">1433</v>
    <v t="r">1434</v>
    <v t="r">1435</v>
    <v t="r">1436</v>
    <v t="r">1437</v>
    <v t="r">1438</v>
    <v t="r">1439</v>
    <v t="r">1440</v>
    <v t="r">1441</v>
    <v t="r">1442</v>
    <v t="r">1443</v>
  </a>
  <a r="1">
    <v t="s">Africa/Dakar</v>
  </a>
  <a r="2">
    <v t="r">1472</v>
    <v t="r">1473</v>
  </a>
  <a r="2">
    <v t="s">Russian language</v>
    <v t="s">Tajik language</v>
  </a>
  <a r="4">
    <v t="r">1488</v>
    <v t="r">1489</v>
    <v t="r">1490</v>
    <v t="r">1491</v>
  </a>
  <a r="2">
    <v t="r">1520</v>
    <v t="r">1521</v>
  </a>
  <a r="3">
    <v t="s">Dutch language</v>
    <v t="s">German language</v>
    <v t="s">French language</v>
  </a>
  <a r="3">
    <v t="r">1539</v>
    <v t="r">1519</v>
    <v t="r">1540</v>
  </a>
  <a r="4">
    <v t="s">Central European Time</v>
    <v t="s">UTC+02:00</v>
    <v t="s">UTC+01:00</v>
    <v t="s">Central European Summer Time</v>
  </a>
  <a r="2">
    <v t="r">1566</v>
    <v t="r">1567</v>
  </a>
  <a r="10">
    <v t="s">Bambara language</v>
    <v t="s">Minyanka language</v>
    <v t="s">Kassonke language</v>
    <v t="s">Bobo language</v>
    <v t="s">Soninke language</v>
    <v t="s">Hassaniya Arabic</v>
    <v t="s">Tamasheq language</v>
    <v t="s">Bozo language</v>
    <v t="s">Fula language</v>
    <v t="s">Maninka language</v>
  </a>
  <a r="9">
    <v t="r">1581</v>
    <v t="r">1582</v>
    <v t="r">1554</v>
    <v t="r">1583</v>
    <v t="r">1584</v>
    <v t="r">1585</v>
    <v t="r">1586</v>
    <v t="r">1587</v>
    <v t="r">1588</v>
  </a>
  <a r="1">
    <v t="s">Africa/Bamako</v>
  </a>
  <a r="2">
    <v t="r">682</v>
    <v t="r">1617</v>
  </a>
  <a r="2">
    <v t="s">New Zealand Sign Language</v>
    <v t="s">New Zealand English</v>
  </a>
  <a r="13">
    <v t="r">1628</v>
    <v t="r">1629</v>
    <v t="r">1630</v>
    <v t="r">1631</v>
    <v t="r">1632</v>
    <v t="r">1633</v>
    <v t="r">1634</v>
    <v t="r">1635</v>
    <v t="r">1636</v>
    <v t="r">1637</v>
    <v t="r">1638</v>
    <v t="r">1639</v>
    <v t="r">1640</v>
  </a>
  <a r="2">
    <v t="s">UTC+12:00</v>
    <v t="s">UTC+13:00</v>
  </a>
  <a r="2">
    <v t="r">1670</v>
    <v t="r">1671</v>
  </a>
  <a r="1">
    <v t="s">Vietnamese language</v>
  </a>
  <a r="34">
    <v t="r">1689</v>
    <v t="r">1690</v>
    <v t="r">1691</v>
    <v t="r">1655</v>
    <v t="r">1692</v>
    <v t="r">1693</v>
    <v t="r">1694</v>
    <v t="r">1695</v>
    <v t="r">1696</v>
    <v t="r">1697</v>
    <v t="r">1698</v>
    <v t="r">1699</v>
    <v t="r">1700</v>
    <v t="r">1701</v>
    <v t="r">1702</v>
    <v t="r">1703</v>
    <v t="r">1704</v>
    <v t="r">1705</v>
    <v t="r">1706</v>
    <v t="r">1707</v>
    <v t="r">1708</v>
    <v t="r">1709</v>
    <v t="r">1710</v>
    <v t="r">1711</v>
    <v t="r">1712</v>
    <v t="r">1669</v>
    <v t="r">1713</v>
    <v t="r">1714</v>
    <v t="r">1715</v>
    <v t="r">1716</v>
    <v t="r">1717</v>
    <v t="r">1718</v>
    <v t="r">1719</v>
    <v t="r">1720</v>
  </a>
  <a r="1">
    <v t="s">UTC+07:00</v>
  </a>
  <a r="4">
    <v t="r">1750</v>
    <v t="r">1751</v>
    <v t="r">1752</v>
    <v t="r">1753</v>
  </a>
  <a r="1">
    <v t="s">Standard Chinese</v>
  </a>
  <a r="33">
    <v t="r">1735</v>
    <v t="r">1769</v>
    <v t="r">1770</v>
    <v t="r">1771</v>
    <v t="r">1772</v>
    <v t="r">1773</v>
    <v t="r">1774</v>
    <v t="r">1775</v>
    <v t="r">1776</v>
    <v t="r">1777</v>
    <v t="r">1778</v>
    <v t="r">1779</v>
    <v t="r">1780</v>
    <v t="r">1781</v>
    <v t="r">1782</v>
    <v t="r">1783</v>
    <v t="r">1784</v>
    <v t="r">1785</v>
    <v t="r">1786</v>
    <v t="r">1787</v>
    <v t="r">1788</v>
    <v t="r">1749</v>
    <v t="r">1789</v>
    <v t="r">1790</v>
    <v t="r">1791</v>
    <v t="r">1792</v>
    <v t="r">1793</v>
    <v t="r">1794</v>
    <v t="r">1795</v>
    <v t="r">1796</v>
    <v t="r">1797</v>
    <v t="r">1798</v>
    <v t="r">1799</v>
  </a>
  <a r="1">
    <v t="s">China Standard Time</v>
  </a>
  <a r="2">
    <v t="r">1827</v>
    <v t="r">1828</v>
  </a>
  <a r="18">
    <v t="r">1841</v>
    <v t="r">1842</v>
    <v t="r">1843</v>
    <v t="r">1844</v>
    <v t="r">1845</v>
    <v t="r">1846</v>
    <v t="r">1847</v>
    <v t="r">1848</v>
    <v t="r">1849</v>
    <v t="r">1850</v>
    <v t="r">1851</v>
    <v t="r">1852</v>
    <v t="r">1853</v>
    <v t="r">1854</v>
    <v t="r">1855</v>
    <v t="r">1856</v>
    <v t="r">1857</v>
    <v t="r">1858</v>
  </a>
  <a r="3">
    <v t="r">1884</v>
    <v t="r">1885</v>
    <v t="r">1886</v>
  </a>
  <a r="3">
    <v t="s">Fiji Hindi</v>
    <v t="s">English language</v>
    <v t="s">Fijian language</v>
  </a>
  <a r="5">
    <v t="r">1901</v>
    <v t="r">1902</v>
    <v t="r">1903</v>
    <v t="r">1904</v>
    <v t="r">1905</v>
  </a>
  <a r="1">
    <v t="s">UTC+12:00</v>
  </a>
  <a r="2">
    <v t="r">1935</v>
    <v t="r">1936</v>
  </a>
  <a r="2">
    <v t="s">Modern Standard Arabic</v>
    <v t="s">Standard Moroccan Amazigh</v>
  </a>
  <a r="12">
    <v t="r">1950</v>
    <v t="r">1951</v>
    <v t="r">1952</v>
    <v t="r">1953</v>
    <v t="r">1954</v>
    <v t="r">1955</v>
    <v t="r">1956</v>
    <v t="r">1957</v>
    <v t="r">1958</v>
    <v t="r">1959</v>
    <v t="r">1960</v>
    <v t="r">1961</v>
  </a>
  <a r="1">
    <v t="s">Africa/Casablanca</v>
  </a>
  <a r="2">
    <v t="r">1990</v>
    <v t="r">1991</v>
  </a>
  <a r="27">
    <v t="r">2005</v>
    <v t="r">2006</v>
    <v t="r">2007</v>
    <v t="r">2008</v>
    <v t="r">2009</v>
    <v t="r">2010</v>
    <v t="r">2011</v>
    <v t="r">2012</v>
    <v t="r">2013</v>
    <v t="r">2014</v>
    <v t="r">2015</v>
    <v t="r">2016</v>
    <v t="r">2017</v>
    <v t="r">2018</v>
    <v t="r">2019</v>
    <v t="r">2020</v>
    <v t="r">2021</v>
    <v t="r">2022</v>
    <v t="r">2023</v>
    <v t="r">2024</v>
    <v t="r">2025</v>
    <v t="r">2026</v>
    <v t="r">2027</v>
    <v t="r">2028</v>
    <v t="r">2029</v>
    <v t="r">2030</v>
    <v t="r">2031</v>
  </a>
  <a r="3">
    <v t="s">Fernando de Noronha Time Zone</v>
    <v t="s">Brasília Time Zone</v>
    <v t="s">Amazon Time Zone</v>
  </a>
  <a r="1">
    <v t="r">2060</v>
  </a>
  <a r="1">
    <v t="s">Costa Rican Spanish</v>
  </a>
  <a r="7">
    <v t="r">2076</v>
    <v t="r">2077</v>
    <v t="r">2078</v>
    <v t="r">2079</v>
    <v t="r">2080</v>
    <v t="r">2081</v>
    <v t="r">2082</v>
  </a>
  <a r="1">
    <v t="s">UTC−06:00</v>
  </a>
  <a r="3">
    <v t="r">2109</v>
    <v t="r">2110</v>
    <v t="r">2111</v>
  </a>
  <a r="2">
    <v t="s">English language</v>
    <v t="s">Irish language</v>
  </a>
  <a r="26">
    <v t="r">2126</v>
    <v t="r">2127</v>
    <v t="r">2128</v>
    <v t="r">2129</v>
    <v t="r">2130</v>
    <v t="r">2131</v>
    <v t="r">2132</v>
    <v t="r">2133</v>
    <v t="r">2134</v>
    <v t="r">2135</v>
    <v t="r">2136</v>
    <v t="r">2137</v>
    <v t="r">2138</v>
    <v t="r">2139</v>
    <v t="r">2140</v>
    <v t="r">2141</v>
    <v t="r">2142</v>
    <v t="r">2143</v>
    <v t="r">2144</v>
    <v t="r">2145</v>
    <v t="r">2146</v>
    <v t="r">2147</v>
    <v t="r">2148</v>
    <v t="r">2149</v>
    <v t="r">2150</v>
    <v t="r">2151</v>
  </a>
  <a r="2">
    <v t="s">UTC+00:00</v>
    <v t="s">UTC+01:00</v>
  </a>
  <a r="5">
    <v t="r">2180</v>
    <v t="r">2181</v>
    <v t="r">2182</v>
    <v t="r">2183</v>
    <v t="r">2184</v>
  </a>
  <a r="2">
    <v t="s">English language</v>
    <v t="s">Swahili</v>
  </a>
  <a r="36">
    <v t="r">2200</v>
    <v t="r">2201</v>
    <v t="r">2202</v>
    <v t="r">2203</v>
    <v t="r">2204</v>
    <v t="r">2205</v>
    <v t="r">2206</v>
    <v t="r">2207</v>
    <v t="r">2208</v>
    <v t="r">2209</v>
    <v t="r">2210</v>
    <v t="r">2211</v>
    <v t="r">2212</v>
    <v t="r">2213</v>
    <v t="r">2214</v>
    <v t="r">2215</v>
    <v t="r">2216</v>
    <v t="r">2217</v>
    <v t="r">2218</v>
    <v t="r">2219</v>
    <v t="r">2220</v>
    <v t="r">2221</v>
    <v t="r">2222</v>
    <v t="r">2223</v>
    <v t="r">2224</v>
    <v t="r">2225</v>
    <v t="r">2226</v>
    <v t="r">2227</v>
    <v t="r">2179</v>
    <v t="r">2228</v>
    <v t="r">2229</v>
    <v t="r">2230</v>
    <v t="r">2231</v>
    <v t="r">2232</v>
    <v t="r">2233</v>
    <v t="r">2234</v>
  </a>
  <a r="2">
    <v t="s">East Africa Time</v>
    <v t="s">Africa/Dar_es_Salaam</v>
  </a>
  <a r="2">
    <v t="r">2263</v>
    <v t="r">2264</v>
  </a>
  <a r="2">
    <v t="s">Modern Standard Arabic</v>
    <v t="s">Standard Algerian Amazigh</v>
  </a>
  <a r="48">
    <v t="r">2278</v>
    <v t="r">2279</v>
    <v t="r">2280</v>
    <v t="r">2281</v>
    <v t="r">2282</v>
    <v t="r">2283</v>
    <v t="r">2284</v>
    <v t="r">2285</v>
    <v t="r">2286</v>
    <v t="r">2287</v>
    <v t="r">2288</v>
    <v t="r">2289</v>
    <v t="r">2290</v>
    <v t="r">2291</v>
    <v t="r">2292</v>
    <v t="r">2293</v>
    <v t="r">2294</v>
    <v t="r">2295</v>
    <v t="r">2296</v>
    <v t="r">2297</v>
    <v t="r">2298</v>
    <v t="r">2299</v>
    <v t="r">2300</v>
    <v t="r">2301</v>
    <v t="r">2302</v>
    <v t="r">2303</v>
    <v t="r">2304</v>
    <v t="r">2305</v>
    <v t="r">2306</v>
    <v t="r">2307</v>
    <v t="r">2308</v>
    <v t="r">2309</v>
    <v t="r">2310</v>
    <v t="r">2311</v>
    <v t="r">2312</v>
    <v t="r">2313</v>
    <v t="r">2314</v>
    <v t="r">2315</v>
    <v t="r">2316</v>
    <v t="r">2317</v>
    <v t="r">2318</v>
    <v t="r">2319</v>
    <v t="r">2320</v>
    <v t="r">2321</v>
    <v t="r">2322</v>
    <v t="r">2323</v>
    <v t="r">2324</v>
    <v t="r">2325</v>
  </a>
  <a r="1">
    <v t="s">Africa/Algiers</v>
  </a>
  <a r="1">
    <v t="r">2353</v>
  </a>
  <a r="15">
    <v t="r">2369</v>
    <v t="r">2370</v>
    <v t="r">2371</v>
    <v t="r">2372</v>
    <v t="r">2373</v>
    <v t="r">2374</v>
    <v t="r">2375</v>
    <v t="r">2376</v>
    <v t="r">2377</v>
    <v t="r">2378</v>
    <v t="r">2379</v>
    <v t="r">2380</v>
    <v t="r">2381</v>
    <v t="r">2382</v>
    <v t="r">2383</v>
  </a>
  <a r="3">
    <v t="s">UTC−05:00</v>
    <v t="s">UTC−04:00</v>
    <v t="s">UTC−03:00</v>
  </a>
  <a r="2">
    <v t="r">2412</v>
    <v t="r">2413</v>
  </a>
  <a r="1">
    <v t="s">Montenegrin language</v>
  </a>
  <a r="22">
    <v t="r">2428</v>
    <v t="r">2429</v>
    <v t="r">2430</v>
    <v t="r">2431</v>
    <v t="r">2432</v>
    <v t="r">2433</v>
    <v t="r">2434</v>
    <v t="r">2435</v>
    <v t="r">2436</v>
    <v t="r">2437</v>
    <v t="r">2438</v>
    <v t="r">2439</v>
    <v t="r">2440</v>
    <v t="r">2441</v>
    <v t="r">2442</v>
    <v t="r">2443</v>
    <v t="r">2444</v>
    <v t="r">2445</v>
    <v t="r">2446</v>
    <v t="r">2447</v>
    <v t="r">2448</v>
    <v t="r">2449</v>
  </a>
  <a r="4">
    <v t="r">2474</v>
    <v t="r">2475</v>
    <v t="r">2476</v>
    <v t="r">2477</v>
  </a>
  <a r="1">
    <v t="s">English language</v>
  </a>
  <a r="55">
    <v t="r">2494</v>
    <v t="r">2495</v>
    <v t="r">2496</v>
    <v t="r">2497</v>
    <v t="r">2498</v>
    <v t="r">2499</v>
    <v t="r">2500</v>
    <v t="r">2501</v>
    <v t="r">2502</v>
    <v t="r">2503</v>
    <v t="r">2504</v>
    <v t="r">2505</v>
    <v t="r">2506</v>
    <v t="r">2507</v>
    <v t="r">2508</v>
    <v t="r">2509</v>
    <v t="r">2510</v>
    <v t="r">2511</v>
    <v t="r">2512</v>
    <v t="r">2513</v>
    <v t="r">2514</v>
    <v t="r">2515</v>
    <v t="r">2516</v>
    <v t="r">2517</v>
    <v t="r">2518</v>
    <v t="r">2519</v>
    <v t="r">2520</v>
    <v t="r">2521</v>
    <v t="r">2522</v>
    <v t="r">2523</v>
    <v t="r">2524</v>
    <v t="r">2525</v>
    <v t="r">2526</v>
    <v t="r">2527</v>
    <v t="r">2528</v>
    <v t="r">2529</v>
    <v t="r">2530</v>
    <v t="r">2531</v>
    <v t="r">2532</v>
    <v t="r">2533</v>
    <v t="r">2534</v>
    <v t="r">2535</v>
    <v t="r">2536</v>
    <v t="r">2537</v>
    <v t="r">2538</v>
    <v t="r">2539</v>
    <v t="r">2540</v>
    <v t="r">2541</v>
    <v t="r">2542</v>
    <v t="r">2543</v>
    <v t="r">2544</v>
    <v t="r">2545</v>
    <v t="r">2546</v>
    <v t="r">2547</v>
    <v t="r">2548</v>
  </a>
  <a r="6">
    <v t="s">Samoa Time Zone</v>
    <v t="s">Atlantic Time Zone</v>
    <v t="s">Central Time Zone</v>
    <v t="s">Alaska Time Zone</v>
    <v t="s">Mountain Time Zone</v>
    <v t="s">Chamorro Time Zone</v>
  </a>
  <a r="1">
    <v t="r">2577</v>
  </a>
  <a r="2">
    <v t="s">English</v>
    <v t="s">French</v>
  </a>
  <a r="10">
    <v t="r">2591</v>
    <v t="r">2592</v>
    <v t="r">2593</v>
    <v t="r">2594</v>
    <v t="r">2595</v>
    <v t="r">2596</v>
    <v t="r">2597</v>
    <v t="r">2598</v>
    <v t="r">2599</v>
    <v t="r">2600</v>
  </a>
  <a r="2">
    <v t="s">West Africa Time</v>
    <v t="s">Africa/Douala</v>
  </a>
  <a r="2">
    <v t="r">2627</v>
    <v t="r">2628</v>
  </a>
  <a r="1">
    <v t="s">Mexican Spanish</v>
  </a>
  <a r="32">
    <v t="r">2615</v>
    <v t="r">2646</v>
    <v t="r">2647</v>
    <v t="r">2648</v>
    <v t="r">2649</v>
    <v t="r">2650</v>
    <v t="r">2651</v>
    <v t="r">2652</v>
    <v t="r">2653</v>
    <v t="r">2654</v>
    <v t="r">2655</v>
    <v t="r">2656</v>
    <v t="r">2657</v>
    <v t="r">2658</v>
    <v t="r">2659</v>
    <v t="r">2660</v>
    <v t="r">2661</v>
    <v t="r">2662</v>
    <v t="r">2663</v>
    <v t="r">2664</v>
    <v t="r">2665</v>
    <v t="r">2666</v>
    <v t="r">2667</v>
    <v t="r">2668</v>
    <v t="r">2669</v>
    <v t="r">2670</v>
    <v t="r">2671</v>
    <v t="r">2672</v>
    <v t="r">2673</v>
    <v t="r">2674</v>
    <v t="r">2675</v>
    <v t="r">2676</v>
  </a>
  <a r="4">
    <v t="s">Central Time Zone</v>
    <v t="s">Mountain Time Zone</v>
    <v t="s">Pacific Time Zone</v>
    <v t="s">Eastern Time Zone</v>
  </a>
  <a r="2">
    <v t="r">2703</v>
    <v t="r">2704</v>
  </a>
  <a r="1">
    <v t="s">Romanian language</v>
  </a>
  <a r="42">
    <v t="r">2718</v>
    <v t="r">2719</v>
    <v t="r">2720</v>
    <v t="r">2721</v>
    <v t="r">2722</v>
    <v t="r">2723</v>
    <v t="r">2724</v>
    <v t="r">2725</v>
    <v t="r">2726</v>
    <v t="r">2727</v>
    <v t="r">2728</v>
    <v t="r">2729</v>
    <v t="r">2730</v>
    <v t="r">2731</v>
    <v t="r">2732</v>
    <v t="r">2733</v>
    <v t="r">2734</v>
    <v t="r">2735</v>
    <v t="r">2736</v>
    <v t="r">2737</v>
    <v t="r">2738</v>
    <v t="r">2739</v>
    <v t="r">2740</v>
    <v t="r">2741</v>
    <v t="r">2742</v>
    <v t="r">2743</v>
    <v t="r">2744</v>
    <v t="r">2745</v>
    <v t="r">2746</v>
    <v t="r">2747</v>
    <v t="r">2748</v>
    <v t="r">2749</v>
    <v t="r">2750</v>
    <v t="r">2751</v>
    <v t="r">2752</v>
    <v t="r">2753</v>
    <v t="r">2754</v>
    <v t="r">2755</v>
    <v t="r">2756</v>
    <v t="r">2757</v>
    <v t="r">2758</v>
    <v t="r">2691</v>
  </a>
  <a r="2">
    <v t="r">2785</v>
    <v t="r">2786</v>
  </a>
  <a r="1">
    <v t="s">Venezuelan Spanish</v>
  </a>
  <a r="25">
    <v t="r">2801</v>
    <v t="r">2802</v>
    <v t="r">2803</v>
    <v t="r">2804</v>
    <v t="r">2805</v>
    <v t="r">2806</v>
    <v t="r">2807</v>
    <v t="r">2808</v>
    <v t="r">2809</v>
    <v t="r">2810</v>
    <v t="r">2811</v>
    <v t="r">2812</v>
    <v t="r">2813</v>
    <v t="r">2814</v>
    <v t="r">2815</v>
    <v t="r">2816</v>
    <v t="r">2817</v>
    <v t="r">2818</v>
    <v t="r">2819</v>
    <v t="r">2820</v>
    <v t="r">2821</v>
    <v t="r">2822</v>
    <v t="r">2823</v>
    <v t="r">2824</v>
    <v t="r">2825</v>
  </a>
  <a r="1">
    <v t="s">UTC−04:00</v>
  </a>
  <a r="2">
    <v t="r">2852</v>
    <v t="r">2853</v>
  </a>
  <a r="1">
    <v t="s">Colombian Spanish</v>
  </a>
  <a r="33">
    <v t="r">2867</v>
    <v t="r">2868</v>
    <v t="r">2869</v>
    <v t="r">2870</v>
    <v t="r">2871</v>
    <v t="r">2872</v>
    <v t="r">2873</v>
    <v t="r">2874</v>
    <v t="r">2875</v>
    <v t="r">2876</v>
    <v t="r">2877</v>
    <v t="r">2878</v>
    <v t="r">2879</v>
    <v t="r">2880</v>
    <v t="r">2881</v>
    <v t="r">2882</v>
    <v t="r">2883</v>
    <v t="r">2884</v>
    <v t="r">2885</v>
    <v t="r">2886</v>
    <v t="r">2887</v>
    <v t="r">2888</v>
    <v t="r">2889</v>
    <v t="r">2890</v>
    <v t="r">2891</v>
    <v t="r">2892</v>
    <v t="r">2893</v>
    <v t="r">2894</v>
    <v t="r">2895</v>
    <v t="r">2896</v>
    <v t="r">2897</v>
    <v t="r">2898</v>
    <v t="r">2839</v>
  </a>
  <a r="1">
    <v t="r">2925</v>
  </a>
  <a r="1">
    <v t="s">Honduran Spanish</v>
  </a>
  <a r="18">
    <v t="r">2940</v>
    <v t="r">2941</v>
    <v t="r">2942</v>
    <v t="r">2943</v>
    <v t="r">2944</v>
    <v t="r">2945</v>
    <v t="r">2946</v>
    <v t="r">2947</v>
    <v t="r">2948</v>
    <v t="r">2949</v>
    <v t="r">2950</v>
    <v t="r">2951</v>
    <v t="r">2952</v>
    <v t="r">2953</v>
    <v t="r">2954</v>
    <v t="r">2955</v>
    <v t="r">2956</v>
    <v t="r">2957</v>
  </a>
  <a r="2">
    <v t="r">2984</v>
    <v t="r">2985</v>
  </a>
  <a r="1">
    <v t="s">Japanese language</v>
  </a>
  <a r="46">
    <v t="r">2998</v>
    <v t="r">2999</v>
    <v t="r">3000</v>
    <v t="r">3001</v>
    <v t="r">3002</v>
    <v t="r">3003</v>
    <v t="r">3004</v>
    <v t="r">3005</v>
    <v t="r">3006</v>
    <v t="r">3007</v>
    <v t="r">3008</v>
    <v t="r">3009</v>
    <v t="r">2970</v>
    <v t="r">3010</v>
    <v t="r">3011</v>
    <v t="r">3012</v>
    <v t="r">3013</v>
    <v t="r">3014</v>
    <v t="r">3015</v>
    <v t="r">3016</v>
    <v t="r">3017</v>
    <v t="r">3018</v>
    <v t="r">3019</v>
    <v t="r">3020</v>
    <v t="r">3021</v>
    <v t="r">3022</v>
    <v t="r">3023</v>
    <v t="r">3024</v>
    <v t="r">3025</v>
    <v t="r">3026</v>
    <v t="r">3027</v>
    <v t="r">3028</v>
    <v t="r">3029</v>
    <v t="r">3030</v>
    <v t="r">3031</v>
    <v t="r">3032</v>
    <v t="r">3033</v>
    <v t="r">3034</v>
    <v t="r">3035</v>
    <v t="r">3036</v>
    <v t="r">3037</v>
    <v t="r">3038</v>
    <v t="r">3039</v>
    <v t="r">3040</v>
    <v t="r">3041</v>
    <v t="r">3042</v>
  </a>
  <a r="1">
    <v t="s">Japan Standard Time</v>
  </a>
  <a r="2">
    <v t="r">3069</v>
    <v t="r">3070</v>
  </a>
  <a r="1">
    <v t="s">Serbian language</v>
  </a>
  <a r="24">
    <v t="r">3084</v>
    <v t="r">3085</v>
    <v t="r">3086</v>
    <v t="r">3087</v>
    <v t="r">3088</v>
    <v t="r">3089</v>
    <v t="r">3090</v>
    <v t="r">3091</v>
    <v t="r">3092</v>
    <v t="r">3093</v>
    <v t="r">3094</v>
    <v t="r">3095</v>
    <v t="r">3096</v>
    <v t="r">3097</v>
    <v t="r">3098</v>
    <v t="r">3099</v>
    <v t="r">3100</v>
    <v t="r">3101</v>
    <v t="r">3102</v>
    <v t="r">3103</v>
    <v t="r">3104</v>
    <v t="r">3105</v>
    <v t="r">3106</v>
    <v t="r">3107</v>
  </a>
</arrayData>
</file>

<file path=xl/richData/rdrichvalue.xml><?xml version="1.0" encoding="utf-8"?>
<rvData xmlns="http://schemas.microsoft.com/office/spreadsheetml/2017/richdata" count="3114">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0.4</fb>
    <v>29</v>
  </rv>
  <rv s="1">
    <fb>303175127597.521</fb>
    <v>30</v>
  </rv>
  <rv s="1">
    <fb>1.0628493000000001</fb>
    <v>23</v>
  </rv>
  <rv s="1">
    <fb>0.35164520000000005</fb>
    <v>23</v>
  </rv>
  <rv s="2">
    <v>0</v>
    <v>21</v>
    <v>2</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0</v>
  </rv>
  <rv s="4">
    <v>https://www.bing.com/search?q=egypt&amp;form=skydnc</v>
    <v>Learn more on Bing</v>
  </rv>
  <rv s="1">
    <fb>71.825000000000003</fb>
    <v>28</v>
  </rv>
  <rv s="1">
    <fb>44199850000</fb>
    <v>30</v>
  </rv>
  <rv s="1">
    <fb>37</fb>
    <v>28</v>
  </rv>
  <rv s="3">
    <v>1</v>
  </rv>
  <rv s="1">
    <fb>0.61958965460000004</fb>
    <v>23</v>
  </rv>
  <rv s="1">
    <fb>0.4521</fb>
    <v>25</v>
  </rv>
  <rv s="1">
    <fb>110990103</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2</v>
  </rv>
  <rv s="1">
    <fb>0.12519211097017099</fb>
    <v>23</v>
  </rv>
  <rv s="3">
    <v>3</v>
  </rv>
  <rv s="1">
    <fb>0.44400000000000001</fb>
    <v>23</v>
  </rv>
  <rv s="1">
    <fb>0.107600002288818</fb>
    <v>31</v>
  </rv>
  <rv s="1">
    <fb>42895824</fb>
    <v>24</v>
  </rv>
  <rv s="5">
    <v>#VALUE!</v>
    <v>en-US</v>
    <v>7af820a7-1c8d-f12a-0ca9-87e192e82cee</v>
    <v>536870912</v>
    <v>1</v>
    <v>16</v>
    <v>17</v>
    <v>Egypt</v>
    <v>19</v>
    <v>20</v>
    <v>Map</v>
    <v>21</v>
    <v>22</v>
    <v>EG</v>
    <v>1</v>
    <v>2</v>
    <v>3</v>
    <v>4</v>
    <v>5</v>
    <v>6</v>
    <v>7</v>
    <v>8</v>
    <v>9</v>
    <v>EGP</v>
    <v>Egypt, officially the Arab Republic of Egypt, is a country spanning the northeast corner of Africa and southwest corner of Asia via the Sinai Peninsula. It is bordered by the Mediterranean Sea to the north, the Gaza Strip of Palestine and Israel ...</v>
    <v>10</v>
    <v>11</v>
    <v>12</v>
    <v>13</v>
    <v>14</v>
    <v>15</v>
    <v>16</v>
    <v>17</v>
    <v>18</v>
    <v>19</v>
    <v>6</v>
    <v>22</v>
    <v>23</v>
    <v>24</v>
    <v>25</v>
    <v>26</v>
    <v>Egypt</v>
    <v>Bilady, Bilady, Bilady</v>
    <v>27</v>
    <v>جُمهورِيّةُ مِصرَ العَرَبيّةِ</v>
    <v>28</v>
    <v>29</v>
    <v>30</v>
    <v>31</v>
    <v>32</v>
    <v>33</v>
    <v>34</v>
    <v>35</v>
    <v>36</v>
    <v>37</v>
    <v>38</v>
    <v>67</v>
    <v>68</v>
    <v>69</v>
    <v>70</v>
    <v>71</v>
    <v>Egypt</v>
    <v>72</v>
    <v>mdp/vdpid/67</v>
  </rv>
  <rv s="2">
    <v>0</v>
    <v>21</v>
    <v>2</v>
    <v>3</v>
    <v>0</v>
    <v>Image of Egypt</v>
  </rv>
  <rv s="0">
    <v>536870912</v>
    <v>Greece</v>
    <v>9066947b-ad82-49f5-93ff-b3c4cbc4e36a</v>
    <v>en-US</v>
    <v>Map</v>
  </rv>
  <rv s="1">
    <fb>0.47602792862684301</fb>
    <v>23</v>
  </rv>
  <rv s="1">
    <fb>131957</fb>
    <v>24</v>
  </rv>
  <rv s="1">
    <fb>146000</fb>
    <v>24</v>
  </rv>
  <rv s="1">
    <fb>8.1</fb>
    <v>25</v>
  </rv>
  <rv s="1">
    <fb>30</fb>
    <v>26</v>
  </rv>
  <rv s="0">
    <v>536870912</v>
    <v>Athens</v>
    <v>b6d809e2-f1da-2d70-de81-8e8c16391ded</v>
    <v>en-US</v>
    <v>Map</v>
  </rv>
  <rv s="1">
    <fb>62434.341999999997</fb>
    <v>24</v>
  </rv>
  <rv s="1">
    <fb>101.869515066502</fb>
    <v>27</v>
  </rv>
  <rv s="1">
    <fb>1.7443010681330101E-3</fb>
    <v>23</v>
  </rv>
  <rv s="1">
    <fb>5062.6064215523202</fb>
    <v>24</v>
  </rv>
  <rv s="1">
    <fb>1.35</fb>
    <v>25</v>
  </rv>
  <rv s="1">
    <fb>0.31685026774025399</fb>
    <v>23</v>
  </rv>
  <rv s="1">
    <fb>82.574635133688304</fb>
    <v>28</v>
  </rv>
  <rv s="1">
    <fb>1.54</fb>
    <v>29</v>
  </rv>
  <rv s="1">
    <fb>209852761468.681</fb>
    <v>30</v>
  </rv>
  <rv s="1">
    <fb>0.99553479999999994</fb>
    <v>23</v>
  </rv>
  <rv s="1">
    <fb>1.3660256999999998</fb>
    <v>23</v>
  </rv>
  <rv s="2">
    <v>1</v>
    <v>21</v>
    <v>33</v>
    <v>7</v>
    <v>0</v>
    <v>Image of Greece</v>
  </rv>
  <rv s="1">
    <fb>3.6</fb>
    <v>28</v>
  </rv>
  <rv s="0">
    <v>805306368</v>
    <v>Katerina Sakellaropoulou (President)</v>
    <v>462ce5ac-144c-7783-9c94-5cea4311427e</v>
    <v>en-US</v>
    <v>Generic</v>
  </rv>
  <rv s="0">
    <v>805306368</v>
    <v>Kyriakos Mitsotakis (Prime minister)</v>
    <v>eea69f27-2379-cfc9-ae98-bda50d609c7e</v>
    <v>en-US</v>
    <v>Generic</v>
  </rv>
  <rv s="3">
    <v>4</v>
  </rv>
  <rv s="4">
    <v>https://www.bing.com/search?q=greece&amp;form=skydnc</v>
    <v>Learn more on Bing</v>
  </rv>
  <rv s="1">
    <fb>81.287804878048803</fb>
    <v>28</v>
  </rv>
  <rv s="1">
    <fb>53653980000</fb>
    <v>30</v>
  </rv>
  <rv s="1">
    <fb>3</fb>
    <v>28</v>
  </rv>
  <rv s="1">
    <fb>4.46</fb>
    <v>29</v>
  </rv>
  <rv s="3">
    <v>5</v>
  </rv>
  <rv s="1">
    <fb>0.35461187979999997</fb>
    <v>23</v>
  </rv>
  <rv s="1">
    <fb>5.4789000000000003</fb>
    <v>25</v>
  </rv>
  <rv s="1">
    <fb>10566531</fb>
    <v>24</v>
  </rv>
  <rv s="1">
    <fb>0.23</fb>
    <v>23</v>
  </rv>
  <rv s="1">
    <fb>0.25900000000000001</fb>
    <v>23</v>
  </rv>
  <rv s="1">
    <fb>0.41100000000000003</fb>
    <v>23</v>
  </rv>
  <rv s="1">
    <fb>2.4E-2</fb>
    <v>23</v>
  </rv>
  <rv s="1">
    <fb>6.6000000000000003E-2</fb>
    <v>23</v>
  </rv>
  <rv s="1">
    <fb>0.12300000000000001</fb>
    <v>23</v>
  </rv>
  <rv s="1">
    <fb>0.17100000000000001</fb>
    <v>23</v>
  </rv>
  <rv s="1">
    <fb>0.51766998291015598</fb>
    <v>23</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6</v>
  </rv>
  <rv s="1">
    <fb>0.26193522357891597</fb>
    <v>23</v>
  </rv>
  <rv s="3">
    <v>7</v>
  </rv>
  <rv s="1">
    <fb>0.51900000000000002</fb>
    <v>23</v>
  </rv>
  <rv s="1">
    <fb>0.17238000869751002</fb>
    <v>31</v>
  </rv>
  <rv s="1">
    <fb>8507474</fb>
    <v>24</v>
  </rv>
  <rv s="6">
    <v>#VALUE!</v>
    <v>en-US</v>
    <v>9066947b-ad82-49f5-93ff-b3c4cbc4e36a</v>
    <v>536870912</v>
    <v>1</v>
    <v>36</v>
    <v>37</v>
    <v>Greece</v>
    <v>19</v>
    <v>20</v>
    <v>Map</v>
    <v>21</v>
    <v>38</v>
    <v>GR</v>
    <v>76</v>
    <v>77</v>
    <v>78</v>
    <v>79</v>
    <v>80</v>
    <v>81</v>
    <v>82</v>
    <v>83</v>
    <v>84</v>
    <v>EUR</v>
    <v>Greece, officially the Hellenic Republic, is a country in Southeast Europe. Located on the southern tip of the Balkan peninsula, Greece shares land borders with Albania to the northwest, North Macedonia and Bulgaria to the north, and Turkey to ...</v>
    <v>85</v>
    <v>86</v>
    <v>87</v>
    <v>88</v>
    <v>89</v>
    <v>90</v>
    <v>91</v>
    <v>92</v>
    <v>93</v>
    <v>94</v>
    <v>81</v>
    <v>97</v>
    <v>98</v>
    <v>99</v>
    <v>100</v>
    <v>101</v>
    <v>102</v>
    <v>Greece</v>
    <v>Hymn to Liberty</v>
    <v>103</v>
    <v>Ελληνική Δημοκρατία</v>
    <v>104</v>
    <v>105</v>
    <v>106</v>
    <v>107</v>
    <v>108</v>
    <v>109</v>
    <v>110</v>
    <v>111</v>
    <v>112</v>
    <v>113</v>
    <v>114</v>
    <v>127</v>
    <v>128</v>
    <v>129</v>
    <v>130</v>
    <v>131</v>
    <v>Greece</v>
    <v>132</v>
    <v>mdp/vdpid/98</v>
  </rv>
  <rv s="2">
    <v>1</v>
    <v>21</v>
    <v>33</v>
    <v>3</v>
    <v>0</v>
    <v>Image of Greece</v>
  </rv>
  <rv s="0">
    <v>536870912</v>
    <v>Panama</v>
    <v>8c0fb36e-1238-e873-e015-712d1f496676</v>
    <v>en-US</v>
    <v>Map</v>
  </rv>
  <rv s="1">
    <fb>0.30360505784234598</fb>
    <v>23</v>
  </rv>
  <rv s="1">
    <fb>74177.3</fb>
    <v>24</v>
  </rv>
  <rv s="1">
    <fb>26000</fb>
    <v>24</v>
  </rv>
  <rv s="1">
    <fb>18.975999999999999</fb>
    <v>25</v>
  </rv>
  <rv s="1">
    <fb>507</fb>
    <v>26</v>
  </rv>
  <rv s="0">
    <v>536870912</v>
    <v>Panama City</v>
    <v>19964a6e-18be-b7ab-2d10-ea83677d0218</v>
    <v>en-US</v>
    <v>Map</v>
  </rv>
  <rv s="1">
    <fb>10714.974</fb>
    <v>24</v>
  </rv>
  <rv s="1">
    <fb>122.06871337877099</fb>
    <v>27</v>
  </rv>
  <rv s="1">
    <fb>-3.55083821021212E-3</fb>
    <v>23</v>
  </rv>
  <rv s="1">
    <fb>2064.1757971350698</fb>
    <v>24</v>
  </rv>
  <rv s="1">
    <fb>2.4609999999999999</fb>
    <v>25</v>
  </rv>
  <rv s="1">
    <fb>0.61885930826691504</fb>
    <v>23</v>
  </rv>
  <rv s="1">
    <fb>80.712661963503095</fb>
    <v>28</v>
  </rv>
  <rv s="1">
    <fb>0.74</fb>
    <v>29</v>
  </rv>
  <rv s="1">
    <fb>66800800000</fb>
    <v>30</v>
  </rv>
  <rv s="1">
    <fb>0.94385990000000008</fb>
    <v>23</v>
  </rv>
  <rv s="1">
    <fb>0.47799360000000002</fb>
    <v>23</v>
  </rv>
  <rv s="2">
    <v>2</v>
    <v>21</v>
    <v>40</v>
    <v>7</v>
    <v>0</v>
    <v>Image of Panama</v>
  </rv>
  <rv s="1">
    <fb>13.1</fb>
    <v>28</v>
  </rv>
  <rv s="0">
    <v>805306368</v>
    <v>José Raúl Mulino (President)</v>
    <v>77ed199e-c1d8-4ec9-69f1-040f34156d7c</v>
    <v>en-US</v>
    <v>Generic</v>
  </rv>
  <rv s="3">
    <v>8</v>
  </rv>
  <rv s="4">
    <v>https://www.bing.com/search?q=panama&amp;form=skydnc</v>
    <v>Learn more on Bing</v>
  </rv>
  <rv s="1">
    <fb>78.328999999999994</fb>
    <v>28</v>
  </rv>
  <rv s="1">
    <fb>16841000000</fb>
    <v>30</v>
  </rv>
  <rv s="1">
    <fb>52</fb>
    <v>28</v>
  </rv>
  <rv s="1">
    <fb>1.53</fb>
    <v>29</v>
  </rv>
  <rv s="3">
    <v>9</v>
  </rv>
  <rv s="1">
    <fb>0.30522739929999998</fb>
    <v>23</v>
  </rv>
  <rv s="1">
    <fb>1.5687</fb>
    <v>25</v>
  </rv>
  <rv s="1">
    <fb>4408581</fb>
    <v>24</v>
  </rv>
  <rv s="1">
    <fb>0.21199999999999999</fb>
    <v>23</v>
  </rv>
  <rv s="1">
    <fb>0.371</fb>
    <v>23</v>
  </rv>
  <rv s="1">
    <fb>0.53600000000000003</fb>
    <v>23</v>
  </rv>
  <rv s="1">
    <fb>1.2E-2</fb>
    <v>23</v>
  </rv>
  <rv s="1">
    <fb>3.6000000000000004E-2</fb>
    <v>23</v>
  </rv>
  <rv s="1">
    <fb>8.3000000000000004E-2</fb>
    <v>23</v>
  </rv>
  <rv s="1">
    <fb>0.13400000000000001</fb>
    <v>23</v>
  </rv>
  <rv s="1">
    <fb>0.66588996887207008</fb>
    <v>23</v>
  </rv>
  <rv s="0">
    <v>536870912</v>
    <v>Emberá-Wounaan Comarca</v>
    <v>f56655f7-6539-11d2-61b2-e9edef2ff376</v>
    <v>en-US</v>
    <v>Map</v>
  </rv>
  <rv s="0">
    <v>536870912</v>
    <v>Guna Yala</v>
    <v>fa5c0a4e-0c4a-927a-b9f7-dd44c8fd002f</v>
    <v>en-US</v>
    <v>Map</v>
  </rv>
  <rv s="0">
    <v>536870912</v>
    <v>Ngäbe-Buglé Comarca</v>
    <v>3e8065bb-603d-4416-9e4e-7cdf098663dc</v>
    <v>en-US</v>
    <v>Map</v>
  </rv>
  <rv s="0">
    <v>536870912</v>
    <v>Madungandí</v>
    <v>ac4e195f-6c42-ae9d-f74a-128ec43b5e3f</v>
    <v>en-US</v>
    <v>Map</v>
  </rv>
  <rv s="0">
    <v>536870912</v>
    <v>Kuna de Wargandí</v>
    <v>27005d80-c390-72a0-5fe3-e0b111e46cea</v>
    <v>en-US</v>
    <v>Map</v>
  </rv>
  <rv s="0">
    <v>536870912</v>
    <v>Bocas del Toro Province</v>
    <v>b0bd1a37-77f9-07ad-4bb5-d1d8e7ae5ccd</v>
    <v>en-US</v>
    <v>Map</v>
  </rv>
  <rv s="0">
    <v>536870912</v>
    <v>Chiriquí Province</v>
    <v>da5a9762-a0b7-1ffe-bc95-34ccb19d1382</v>
    <v>en-US</v>
    <v>Map</v>
  </rv>
  <rv s="0">
    <v>536870912</v>
    <v>Coclé Province</v>
    <v>7d1a06f8-72c7-b88d-d742-13034e32cde4</v>
    <v>en-US</v>
    <v>Map</v>
  </rv>
  <rv s="0">
    <v>536870912</v>
    <v>Colón Province</v>
    <v>fc6b97f2-ecfa-1eb3-207c-783ce206f9ea</v>
    <v>en-US</v>
    <v>Map</v>
  </rv>
  <rv s="0">
    <v>536870912</v>
    <v>Darién Province</v>
    <v>fec9bd09-52d2-2f43-c137-a73af607d3c4</v>
    <v>en-US</v>
    <v>Map</v>
  </rv>
  <rv s="0">
    <v>536870912</v>
    <v>Herrera Province</v>
    <v>5315f223-f244-c960-4e73-fca8cb9d8354</v>
    <v>en-US</v>
    <v>Map</v>
  </rv>
  <rv s="0">
    <v>536870912</v>
    <v>Los Santos Province</v>
    <v>5aeb7060-ab74-113a-23d7-abb8287efa3e</v>
    <v>en-US</v>
    <v>Map</v>
  </rv>
  <rv s="0">
    <v>536870912</v>
    <v>Panamá Province</v>
    <v>a90e5d63-7677-0644-50c7-f2bdfff82d78</v>
    <v>en-US</v>
    <v>Map</v>
  </rv>
  <rv s="0">
    <v>536870912</v>
    <v>Veraguas Province</v>
    <v>2d44080e-33d5-ab6d-8d0e-64edfdd9b92d</v>
    <v>en-US</v>
    <v>Map</v>
  </rv>
  <rv s="3">
    <v>10</v>
  </rv>
  <rv s="3">
    <v>11</v>
  </rv>
  <rv s="1">
    <fb>0.37200000000000005</fb>
    <v>23</v>
  </rv>
  <rv s="1">
    <fb>3.9019999504089402E-2</fb>
    <v>31</v>
  </rv>
  <rv s="1">
    <fb>2890084</fb>
    <v>24</v>
  </rv>
  <rv s="7">
    <v>#VALUE!</v>
    <v>en-US</v>
    <v>8c0fb36e-1238-e873-e015-712d1f496676</v>
    <v>536870912</v>
    <v>1</v>
    <v>43</v>
    <v>44</v>
    <v>Panama</v>
    <v>19</v>
    <v>20</v>
    <v>Map</v>
    <v>21</v>
    <v>45</v>
    <v>PA</v>
    <v>136</v>
    <v>137</v>
    <v>138</v>
    <v>139</v>
    <v>140</v>
    <v>141</v>
    <v>142</v>
    <v>143</v>
    <v>144</v>
    <v>PAB</v>
    <v>Panama, officially the Republic of Panama, is a country in Latin America at the southern end of Central America, bordering South America. It is bordered by Costa Rica to the west, Colombia to the southeast, the Caribbean Sea to the north, and ...</v>
    <v>145</v>
    <v>146</v>
    <v>147</v>
    <v>148</v>
    <v>149</v>
    <v>150</v>
    <v>151</v>
    <v>152</v>
    <v>153</v>
    <v>154</v>
    <v>141</v>
    <v>156</v>
    <v>157</v>
    <v>158</v>
    <v>159</v>
    <v>160</v>
    <v>161</v>
    <v>Panama</v>
    <v>Himno Istmeño</v>
    <v>162</v>
    <v>Panamá</v>
    <v>163</v>
    <v>164</v>
    <v>165</v>
    <v>166</v>
    <v>167</v>
    <v>168</v>
    <v>169</v>
    <v>170</v>
    <v>171</v>
    <v>172</v>
    <v>173</v>
    <v>188</v>
    <v>189</v>
    <v>190</v>
    <v>191</v>
    <v>Panama</v>
    <v>192</v>
    <v>mdp/vdpid/192</v>
  </rv>
  <rv s="2">
    <v>2</v>
    <v>21</v>
    <v>40</v>
    <v>3</v>
    <v>0</v>
    <v>Image of Panama</v>
  </rv>
  <rv s="0">
    <v>536870912</v>
    <v>Qatar</v>
    <v>12aef15b-0748-2538-a691-1f10b68d6fc2</v>
    <v>en-US</v>
    <v>Map</v>
  </rv>
  <rv s="1">
    <fb>5.7708871662360002E-2</fb>
    <v>23</v>
  </rv>
  <rv s="1">
    <fb>11437</fb>
    <v>24</v>
  </rv>
  <rv s="1">
    <fb>22000</fb>
    <v>24</v>
  </rv>
  <rv s="1">
    <fb>9.5410000000000004</fb>
    <v>25</v>
  </rv>
  <rv s="1">
    <fb>974</fb>
    <v>26</v>
  </rv>
  <rv s="0">
    <v>536870912</v>
    <v>Doha</v>
    <v>c5b0d5d3-8bd3-bd8d-1f71-c25a489a1a0d</v>
    <v>en-US</v>
    <v>Map</v>
  </rv>
  <rv s="1">
    <fb>103259.053</fb>
    <v>24</v>
  </rv>
  <rv s="1">
    <fb>115.380849813981</fb>
    <v>27</v>
  </rv>
  <rv s="1">
    <fb>-6.6664112486110204E-3</fb>
    <v>23</v>
  </rv>
  <rv s="1">
    <fb>14781.648325999</fb>
    <v>24</v>
  </rv>
  <rv s="1">
    <fb>1.8660000000000001</fb>
    <v>25</v>
  </rv>
  <rv s="1">
    <fb>0</fb>
    <v>23</v>
  </rv>
  <rv s="1">
    <fb>99.995026721051204</fb>
    <v>28</v>
  </rv>
  <rv s="1">
    <fb>183466208791.20901</fb>
    <v>30</v>
  </rv>
  <rv s="1">
    <fb>1.0384244</fb>
    <v>23</v>
  </rv>
  <rv s="1">
    <fb>0.1786992</fb>
    <v>23</v>
  </rv>
  <rv s="2">
    <v>3</v>
    <v>21</v>
    <v>47</v>
    <v>7</v>
    <v>0</v>
    <v>Image of Qatar</v>
  </rv>
  <rv s="1">
    <fb>5.8</fb>
    <v>28</v>
  </rv>
  <rv s="0">
    <v>805306368</v>
    <v>Tamim bin Hamad Al Thani (Emir)</v>
    <v>a1db2975-3bae-c431-415e-f2760e58c99a</v>
    <v>en-US</v>
    <v>Generic</v>
  </rv>
  <rv s="0">
    <v>805306368</v>
    <v>Mohammed bin Abdulrahman bin Jassim Al Thani (Prime minister)</v>
    <v>ce42d931-a963-98de-26d9-0b1ba94ce2b3</v>
    <v>en-US</v>
    <v>Generic</v>
  </rv>
  <rv s="3">
    <v>12</v>
  </rv>
  <rv s="4">
    <v>https://www.bing.com/search?q=qatar+country&amp;form=skydnc</v>
    <v>Learn more on Bing</v>
  </rv>
  <rv s="1">
    <fb>80.099999999999994</fb>
    <v>28</v>
  </rv>
  <rv s="1">
    <fb>160050720000</fb>
    <v>30</v>
  </rv>
  <rv s="1">
    <fb>9</fb>
    <v>28</v>
  </rv>
  <rv s="3">
    <v>13</v>
  </rv>
  <rv s="1">
    <fb>6.2283750999999998E-2</fb>
    <v>23</v>
  </rv>
  <rv s="1">
    <fb>2.4851999999999999</fb>
    <v>25</v>
  </rv>
  <rv s="1">
    <fb>2695122</fb>
    <v>24</v>
  </rv>
  <rv s="1">
    <fb>0.86819999694824201</fb>
    <v>23</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14</v>
  </rv>
  <rv s="1">
    <fb>0.14654950961848401</fb>
    <v>23</v>
  </rv>
  <rv s="3">
    <v>15</v>
  </rv>
  <rv s="1">
    <fb>0.113</fb>
    <v>23</v>
  </rv>
  <rv s="1">
    <fb>9.0999998152255994E-4</fb>
    <v>31</v>
  </rv>
  <rv s="1">
    <fb>2809071</fb>
    <v>24</v>
  </rv>
  <rv s="8">
    <v>#VALUE!</v>
    <v>en-US</v>
    <v>12aef15b-0748-2538-a691-1f10b68d6fc2</v>
    <v>536870912</v>
    <v>1</v>
    <v>50</v>
    <v>51</v>
    <v>Qatar</v>
    <v>19</v>
    <v>20</v>
    <v>Map</v>
    <v>21</v>
    <v>52</v>
    <v>QA</v>
    <v>196</v>
    <v>197</v>
    <v>198</v>
    <v>199</v>
    <v>200</v>
    <v>201</v>
    <v>202</v>
    <v>203</v>
    <v>204</v>
    <v>QAR</v>
    <v>Qatar, officially the State of Qatar, is a country in West Asia. It occupies the Qatar Peninsula on the northeastern coast of the Arabian Peninsula in the Middle East; it shares its sole land border with Saudi Arabia to the south, with the rest ...</v>
    <v>205</v>
    <v>206</v>
    <v>207</v>
    <v>208</v>
    <v>14</v>
    <v>209</v>
    <v>210</v>
    <v>211</v>
    <v>212</v>
    <v>213</v>
    <v>201</v>
    <v>216</v>
    <v>217</v>
    <v>218</v>
    <v>219</v>
    <v>220</v>
    <v>Qatar</v>
    <v>As-Salam al-Amiri</v>
    <v>221</v>
    <v>l’État du Qatar</v>
    <v>222</v>
    <v>223</v>
    <v>224</v>
    <v>225</v>
    <v>233</v>
    <v>234</v>
    <v>235</v>
    <v>236</v>
    <v>237</v>
    <v>Qatar</v>
    <v>238</v>
    <v>mdp/vdpid/197</v>
  </rv>
  <rv s="2">
    <v>3</v>
    <v>21</v>
    <v>47</v>
    <v>3</v>
    <v>0</v>
    <v>Image of Qatar</v>
  </rv>
  <rv s="0">
    <v>536870912</v>
    <v>Ecuador</v>
    <v>2079204c-c2a1-f4df-5ade-9c8e04ca07ce</v>
    <v>en-US</v>
    <v>Map</v>
  </rv>
  <rv s="1">
    <fb>0.22209695603156698</fb>
    <v>23</v>
  </rv>
  <rv s="1">
    <fb>257204.27</fb>
    <v>24</v>
  </rv>
  <rv s="1">
    <fb>41000</fb>
    <v>24</v>
  </rv>
  <rv s="1">
    <fb>19.719000000000001</fb>
    <v>25</v>
  </rv>
  <rv s="1">
    <fb>593</fb>
    <v>26</v>
  </rv>
  <rv s="0">
    <v>536870912</v>
    <v>Quito</v>
    <v>dfa87a53-572b-ac85-a4bb-f3f9e6216a7c</v>
    <v>en-US</v>
    <v>Map</v>
  </rv>
  <rv s="1">
    <fb>41154.741000000002</fb>
    <v>24</v>
  </rv>
  <rv s="1">
    <fb>124.142674729473</fb>
    <v>27</v>
  </rv>
  <rv s="1">
    <fb>2.6601251546613603E-3</fb>
    <v>23</v>
  </rv>
  <rv s="1">
    <fb>1376.3931153262699</fb>
    <v>24</v>
  </rv>
  <rv s="1">
    <fb>2.427</fb>
    <v>25</v>
  </rv>
  <rv s="1">
    <fb>0.50205952611632298</fb>
    <v>23</v>
  </rv>
  <rv s="1">
    <fb>86.884660364734302</fb>
    <v>28</v>
  </rv>
  <rv s="1">
    <fb>0.61</fb>
    <v>29</v>
  </rv>
  <rv s="1">
    <fb>107435665000</fb>
    <v>30</v>
  </rv>
  <rv s="1">
    <fb>1.0326795</fb>
    <v>23</v>
  </rv>
  <rv s="1">
    <fb>0.4489223</fb>
    <v>23</v>
  </rv>
  <rv s="2">
    <v>4</v>
    <v>21</v>
    <v>54</v>
    <v>7</v>
    <v>0</v>
    <v>Image of Ecuador</v>
  </rv>
  <rv s="1">
    <fb>12.2</fb>
    <v>28</v>
  </rv>
  <rv s="0">
    <v>536870912</v>
    <v>Guayaquil</v>
    <v>92f08a91-8f1e-636f-8b59-cfe6db9e4eec</v>
    <v>en-US</v>
    <v>Map</v>
  </rv>
  <rv s="0">
    <v>805306368</v>
    <v>Daniel Noboa (President)</v>
    <v>ab584480-89aa-1c0e-40b6-0ffc6980662b</v>
    <v>en-US</v>
    <v>Generic</v>
  </rv>
  <rv s="0">
    <v>805306368</v>
    <v>Verónica Abad Rojas (Vice president)</v>
    <v>23478539-2abc-9338-b6a3-b00cc85bbfed</v>
    <v>en-US</v>
    <v>Generic</v>
  </rv>
  <rv s="3">
    <v>16</v>
  </rv>
  <rv s="4">
    <v>https://www.bing.com/search?q=ecuador&amp;form=skydnc</v>
    <v>Learn more on Bing</v>
  </rv>
  <rv s="1">
    <fb>76.8</fb>
    <v>28</v>
  </rv>
  <rv s="1">
    <fb>747000000</fb>
    <v>30</v>
  </rv>
  <rv s="1">
    <fb>59</fb>
    <v>28</v>
  </rv>
  <rv s="1">
    <fb>2.46</fb>
    <v>29</v>
  </rv>
  <rv s="3">
    <v>17</v>
  </rv>
  <rv s="1">
    <fb>0.43712133000000003</fb>
    <v>23</v>
  </rv>
  <rv s="1">
    <fb>2.0367999999999999</fb>
    <v>25</v>
  </rv>
  <rv s="1">
    <fb>18001000</fb>
    <v>24</v>
  </rv>
  <rv s="1">
    <fb>0.34399999999999997</fb>
    <v>23</v>
  </rv>
  <rv s="1">
    <fb>0.51</fb>
    <v>23</v>
  </rv>
  <rv s="1">
    <fb>1.6E-2</fb>
    <v>23</v>
  </rv>
  <rv s="1">
    <fb>4.5999999999999999E-2</fb>
    <v>23</v>
  </rv>
  <rv s="1">
    <fb>9.1999999999999998E-2</fb>
    <v>23</v>
  </rv>
  <rv s="1">
    <fb>0.14000000000000001</fb>
    <v>23</v>
  </rv>
  <rv s="1">
    <fb>0.68038002014160204</fb>
    <v>23</v>
  </rv>
  <rv s="0">
    <v>536870912</v>
    <v>Azuay Province</v>
    <v>2cfb014a-a9af-60a1-4b8f-eb162fbe6e72</v>
    <v>en-US</v>
    <v>Map</v>
  </rv>
  <rv s="0">
    <v>536870912</v>
    <v>Bolívar Province</v>
    <v>4d552046-3a62-f923-d3c4-56ddfbf58477</v>
    <v>en-US</v>
    <v>Map</v>
  </rv>
  <rv s="0">
    <v>536870912</v>
    <v>Cañar Province</v>
    <v>a9ec6560-75bb-6acb-2850-5ee8b3c0e70d</v>
    <v>en-US</v>
    <v>Map</v>
  </rv>
  <rv s="0">
    <v>536870912</v>
    <v>Carchi Province</v>
    <v>6468a0ed-1faa-e59e-3c47-ec3e06264004</v>
    <v>en-US</v>
    <v>Map</v>
  </rv>
  <rv s="0">
    <v>536870912</v>
    <v>Chimborazo Province</v>
    <v>8776cfea-2701-3c6f-4474-bbac439954bf</v>
    <v>en-US</v>
    <v>Map</v>
  </rv>
  <rv s="0">
    <v>536870912</v>
    <v>Cotopaxi Province</v>
    <v>c06a9fc2-f34f-e68c-9741-9cc620c63e4d</v>
    <v>en-US</v>
    <v>Map</v>
  </rv>
  <rv s="0">
    <v>536870912</v>
    <v>El Oro Province</v>
    <v>eb5def5b-73f4-3340-75cc-09e9ce42c3fb</v>
    <v>en-US</v>
    <v>Map</v>
  </rv>
  <rv s="0">
    <v>536870912</v>
    <v>Esmeraldas Province</v>
    <v>ac309a0c-71b1-692d-39ec-110d81cf9f9f</v>
    <v>en-US</v>
    <v>Map</v>
  </rv>
  <rv s="0">
    <v>536870912</v>
    <v>Galápagos Province</v>
    <v>56ad541f-3fad-e18e-448d-20d5660471b1</v>
    <v>en-US</v>
    <v>Map</v>
  </rv>
  <rv s="0">
    <v>536870912</v>
    <v>Guayas Province</v>
    <v>472795a7-7487-ff7b-83a0-7eb6b94a297f</v>
    <v>en-US</v>
    <v>Map</v>
  </rv>
  <rv s="0">
    <v>536870912</v>
    <v>Imbabura Province</v>
    <v>b55e8a0c-2c01-bedd-7ab6-6a27556de38b</v>
    <v>en-US</v>
    <v>Map</v>
  </rv>
  <rv s="0">
    <v>536870912</v>
    <v>Loja Province</v>
    <v>b0bacdd5-a2fc-0810-4f62-4031e901c349</v>
    <v>en-US</v>
    <v>Map</v>
  </rv>
  <rv s="0">
    <v>536870912</v>
    <v>Manabí Province</v>
    <v>b6790b9c-12f8-5243-0a7b-3dcdb354b2b3</v>
    <v>en-US</v>
    <v>Map</v>
  </rv>
  <rv s="0">
    <v>536870912</v>
    <v>Morona-Santiago Province</v>
    <v>2ed9fd24-df04-212a-d4d9-9b4b29ad2b2d</v>
    <v>en-US</v>
    <v>Map</v>
  </rv>
  <rv s="0">
    <v>536870912</v>
    <v>Napo Province</v>
    <v>621a491f-2896-9a1d-47d2-a574afc14ace</v>
    <v>en-US</v>
    <v>Map</v>
  </rv>
  <rv s="0">
    <v>536870912</v>
    <v>Orellana Province</v>
    <v>49c9bc21-2a8d-a97d-ae97-23ca6dd7c735</v>
    <v>en-US</v>
    <v>Map</v>
  </rv>
  <rv s="0">
    <v>536870912</v>
    <v>Pastaza Province</v>
    <v>6817a2a5-110b-9f8f-f0f5-b13e6624dc59</v>
    <v>en-US</v>
    <v>Map</v>
  </rv>
  <rv s="0">
    <v>536870912</v>
    <v>Pichincha Province</v>
    <v>f4e8db75-5a82-3d59-f5e9-bd08cf6fff8a</v>
    <v>en-US</v>
    <v>Map</v>
  </rv>
  <rv s="0">
    <v>536870912</v>
    <v>Santa Elena Province</v>
    <v>fcff532e-26eb-8c4a-404f-8fc422552e15</v>
    <v>en-US</v>
    <v>Map</v>
  </rv>
  <rv s="0">
    <v>536870912</v>
    <v>Santo Domingo de los Tsáchilas Province</v>
    <v>cc2d928b-7e0d-05a2-5a13-c73529a5cda5</v>
    <v>en-US</v>
    <v>Map</v>
  </rv>
  <rv s="0">
    <v>536870912</v>
    <v>Sucumbíos Province</v>
    <v>ebfa2524-d55a-4b2c-ac5d-113b02b7f1b0</v>
    <v>en-US</v>
    <v>Map</v>
  </rv>
  <rv s="0">
    <v>536870912</v>
    <v>Tungurahua Province</v>
    <v>ee9cb293-dbab-c572-3cae-cffcd293f198</v>
    <v>en-US</v>
    <v>Map</v>
  </rv>
  <rv s="0">
    <v>536870912</v>
    <v>Zamora-Chinchipe Province</v>
    <v>521e2066-d6bb-80df-996f-3f406f806d03</v>
    <v>en-US</v>
    <v>Map</v>
  </rv>
  <rv s="0">
    <v>536870912</v>
    <v>Los Ríos Province</v>
    <v>522c5a50-5b8f-afec-3199-c8ca4eefcf8e</v>
    <v>en-US</v>
    <v>Map</v>
  </rv>
  <rv s="3">
    <v>18</v>
  </rv>
  <rv s="1">
    <fb>3.9679999351501502E-2</fb>
    <v>31</v>
  </rv>
  <rv s="1">
    <fb>11116711</fb>
    <v>24</v>
  </rv>
  <rv s="7">
    <v>#VALUE!</v>
    <v>en-US</v>
    <v>2079204c-c2a1-f4df-5ade-9c8e04ca07ce</v>
    <v>536870912</v>
    <v>1</v>
    <v>57</v>
    <v>44</v>
    <v>Ecuador</v>
    <v>19</v>
    <v>20</v>
    <v>Map</v>
    <v>21</v>
    <v>58</v>
    <v>EC</v>
    <v>242</v>
    <v>243</v>
    <v>244</v>
    <v>245</v>
    <v>246</v>
    <v>247</v>
    <v>248</v>
    <v>249</v>
    <v>250</v>
    <v>USD</v>
    <v>Ecuador, officially the Republic of Ecuador, is a country in northwestern South America, bordered by Colombia on the north, Peru on the east and south, and the Pacific Ocean on the west. It also includes the Galápagos Islands in the Pacific, ...</v>
    <v>251</v>
    <v>252</v>
    <v>253</v>
    <v>254</v>
    <v>255</v>
    <v>256</v>
    <v>257</v>
    <v>258</v>
    <v>259</v>
    <v>260</v>
    <v>261</v>
    <v>264</v>
    <v>265</v>
    <v>266</v>
    <v>267</v>
    <v>268</v>
    <v>269</v>
    <v>Ecuador</v>
    <v>Salve, Oh Patria</v>
    <v>270</v>
    <v>República del Ecuador</v>
    <v>271</v>
    <v>272</v>
    <v>273</v>
    <v>166</v>
    <v>274</v>
    <v>275</v>
    <v>276</v>
    <v>277</v>
    <v>278</v>
    <v>279</v>
    <v>280</v>
    <v>305</v>
    <v>189</v>
    <v>274</v>
    <v>306</v>
    <v>Ecuador</v>
    <v>307</v>
    <v>mdp/vdpid/66</v>
  </rv>
  <rv s="2">
    <v>4</v>
    <v>21</v>
    <v>54</v>
    <v>3</v>
    <v>0</v>
    <v>Image of Ecuador</v>
  </rv>
  <rv s="0">
    <v>536870912</v>
    <v>South Korea</v>
    <v>c0e15be0-5113-402c-c03f-516a6265e9cb</v>
    <v>en-US</v>
    <v>Map</v>
  </rv>
  <rv s="1">
    <fb>0.17446070640579101</fb>
    <v>23</v>
  </rv>
  <rv s="1">
    <fb>100295</fb>
    <v>24</v>
  </rv>
  <rv s="1">
    <fb>634000</fb>
    <v>24</v>
  </rv>
  <rv s="1">
    <fb>6.4</fb>
    <v>25</v>
  </rv>
  <rv s="1">
    <fb>82</fb>
    <v>26</v>
  </rv>
  <rv s="0">
    <v>536870912</v>
    <v>Seoul</v>
    <v>669b47ba-40b4-0147-3657-a7dd0861132c</v>
    <v>en-US</v>
    <v>Map</v>
  </rv>
  <rv s="1">
    <fb>620302.38600000006</fb>
    <v>24</v>
  </rv>
  <rv s="1">
    <fb>115.15858742558</fb>
    <v>27</v>
  </rv>
  <rv s="1">
    <fb>3.8294613224406E-3</fb>
    <v>23</v>
  </rv>
  <rv s="1">
    <fb>10496.5136719641</fb>
    <v>24</v>
  </rv>
  <rv s="1">
    <fb>0.97699999999999998</fb>
    <v>25</v>
  </rv>
  <rv s="1">
    <fb>0.63354836492977906</fb>
    <v>23</v>
  </rv>
  <rv s="1">
    <fb>81.028475807144503</fb>
    <v>28</v>
  </rv>
  <rv s="1">
    <fb>1.22</fb>
    <v>29</v>
  </rv>
  <rv s="1">
    <fb>2029000000000</fb>
    <v>30</v>
  </rv>
  <rv s="1">
    <fb>0.98088600000000004</fb>
    <v>23</v>
  </rv>
  <rv s="1">
    <fb>0.94349689999999997</fb>
    <v>23</v>
  </rv>
  <rv s="2">
    <v>5</v>
    <v>21</v>
    <v>60</v>
    <v>7</v>
    <v>0</v>
    <v>Image of South Korea</v>
  </rv>
  <rv s="1">
    <fb>2.7</fb>
    <v>28</v>
  </rv>
  <rv s="0">
    <v>805306368</v>
    <v>Lee Jae Myung (President)</v>
    <v>3fadda75-0970-086a-156c-17bad9a07123</v>
    <v>en-US</v>
    <v>Generic</v>
  </rv>
  <rv s="0">
    <v>805306368</v>
    <v>Kim Min-seok (Prime minister)</v>
    <v>743531e7-a554-30f1-c8c1-c36e56ba5a70</v>
    <v>en-US</v>
    <v>Generic</v>
  </rv>
  <rv s="3">
    <v>19</v>
  </rv>
  <rv s="4">
    <v>https://www.bing.com/search?q=south+korea&amp;form=skydnc</v>
    <v>Learn more on Bing</v>
  </rv>
  <rv s="1">
    <fb>82.626829268292695</fb>
    <v>28</v>
  </rv>
  <rv s="1">
    <fb>1413716510000</fb>
    <v>30</v>
  </rv>
  <rv s="1">
    <fb>11</fb>
    <v>28</v>
  </rv>
  <rv s="1">
    <fb>6.49</fb>
    <v>29</v>
  </rv>
  <rv s="3">
    <v>20</v>
  </rv>
  <rv s="1">
    <fb>0.36792971710000005</fb>
    <v>23</v>
  </rv>
  <rv s="1">
    <fb>2.3607999999999998</fb>
    <v>25</v>
  </rv>
  <rv s="1">
    <fb>51486343</fb>
    <v>24</v>
  </rv>
  <rv s="1">
    <fb>0.23199999999999998</fb>
    <v>23</v>
  </rv>
  <rv s="1">
    <fb>0.23800000000000002</fb>
    <v>23</v>
  </rv>
  <rv s="1">
    <fb>0.39</fb>
    <v>23</v>
  </rv>
  <rv s="1">
    <fb>2.6000000000000002E-2</fb>
    <v>23</v>
  </rv>
  <rv s="1">
    <fb>7.2999999999999995E-2</fb>
    <v>23</v>
  </rv>
  <rv s="1">
    <fb>0.13</fb>
    <v>23</v>
  </rv>
  <rv s="1">
    <fb>0.17499999999999999</fb>
    <v>23</v>
  </rv>
  <rv s="1">
    <fb>0.62970001220703098</fb>
    <v>23</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21</v>
  </rv>
  <rv s="1">
    <fb>0.15574911728035101</fb>
    <v>23</v>
  </rv>
  <rv s="3">
    <v>22</v>
  </rv>
  <rv s="1">
    <fb>0.33200000000000002</fb>
    <v>23</v>
  </rv>
  <rv s="1">
    <fb>4.1479997634887703E-2</fb>
    <v>31</v>
  </rv>
  <rv s="1">
    <fb>42106719</fb>
    <v>24</v>
  </rv>
  <rv s="6">
    <v>#VALUE!</v>
    <v>en-US</v>
    <v>c0e15be0-5113-402c-c03f-516a6265e9cb</v>
    <v>536870912</v>
    <v>1</v>
    <v>64</v>
    <v>37</v>
    <v>South Korea</v>
    <v>19</v>
    <v>20</v>
    <v>Map</v>
    <v>21</v>
    <v>65</v>
    <v>KR</v>
    <v>311</v>
    <v>312</v>
    <v>313</v>
    <v>314</v>
    <v>315</v>
    <v>316</v>
    <v>317</v>
    <v>318</v>
    <v>319</v>
    <v>KRW</v>
    <v>South Korea, officially the Republic of Korea, is a country in East Asia. It constitutes the southern half of the Korean Peninsula and borders North Korea along the Korean Demilitarized Zone, with the Yellow Sea to the west and the Sea of Japan ...</v>
    <v>320</v>
    <v>321</v>
    <v>322</v>
    <v>323</v>
    <v>324</v>
    <v>325</v>
    <v>326</v>
    <v>327</v>
    <v>328</v>
    <v>329</v>
    <v>316</v>
    <v>332</v>
    <v>333</v>
    <v>334</v>
    <v>335</v>
    <v>336</v>
    <v>337</v>
    <v>South Korea</v>
    <v>Aegukga</v>
    <v>338</v>
    <v>대한민국</v>
    <v>339</v>
    <v>340</v>
    <v>341</v>
    <v>342</v>
    <v>343</v>
    <v>344</v>
    <v>345</v>
    <v>346</v>
    <v>347</v>
    <v>348</v>
    <v>349</v>
    <v>366</v>
    <v>367</v>
    <v>368</v>
    <v>369</v>
    <v>370</v>
    <v>South Korea</v>
    <v>371</v>
    <v>mdp/vdpid/134</v>
  </rv>
  <rv s="2">
    <v>5</v>
    <v>21</v>
    <v>60</v>
    <v>3</v>
    <v>0</v>
    <v>Image of South Korea</v>
  </rv>
  <rv s="0">
    <v>536870912</v>
    <v>New Caledonia</v>
    <v>25b2aeab-b390-d01e-1f7f-90be767bd899</v>
    <v>en-US</v>
    <v>Map</v>
  </rv>
  <rv s="1">
    <fb>0.10078774917569101</fb>
    <v>23</v>
  </rv>
  <rv s="1">
    <fb>18576</fb>
    <v>24</v>
  </rv>
  <rv s="1">
    <fb>14.5</fb>
    <v>25</v>
  </rv>
  <rv s="1">
    <fb>687</fb>
    <v>26</v>
  </rv>
  <rv s="0">
    <v>536870912</v>
    <v>Nouméa</v>
    <v>911ffc0f-d3ab-c5d7-1078-0f069bb6b06b</v>
    <v>en-US</v>
    <v>Map</v>
  </rv>
  <rv s="1">
    <fb>5328.1509999999998</fb>
    <v>24</v>
  </rv>
  <rv s="1">
    <fb>106.95976842723501</fb>
    <v>27</v>
  </rv>
  <rv s="1">
    <fb>5.7831743552115298E-3</fb>
    <v>23</v>
  </rv>
  <rv s="1">
    <fb>1.97</fb>
    <v>25</v>
  </rv>
  <rv s="1">
    <fb>0.45897155361050301</fb>
    <v>23</v>
  </rv>
  <rv s="1">
    <fb>2682347064.3642001</fb>
    <v>30</v>
  </rv>
  <rv s="2">
    <v>6</v>
    <v>21</v>
    <v>67</v>
    <v>7</v>
    <v>0</v>
    <v>Image of New Caledonia</v>
  </rv>
  <rv s="0">
    <v>805306368</v>
    <v>Emmanuel Macron (President)</v>
    <v>35be5a56-7a78-6352-b158-60da8f84c858</v>
    <v>en-US</v>
    <v>Generic</v>
  </rv>
  <rv s="3">
    <v>23</v>
  </rv>
  <rv s="4">
    <v>https://www.bing.com/search?q=new+caledonia&amp;form=skydnc</v>
    <v>Learn more on Bing</v>
  </rv>
  <rv s="1">
    <fb>77.148780487804899</fb>
    <v>28</v>
  </rv>
  <rv s="3">
    <v>24</v>
  </rv>
  <rv s="1">
    <fb>1.982</fb>
    <v>25</v>
  </rv>
  <rv s="1">
    <fb>276780</fb>
    <v>24</v>
  </rv>
  <rv s="1">
    <fb>0.63057998657226599</fb>
    <v>23</v>
  </rv>
  <rv s="0">
    <v>536870912</v>
    <v>Îles Belep</v>
    <v>8fdddcd9-9eac-3191-9c53-448f3a91b7d5</v>
    <v>en-US</v>
    <v>Map</v>
  </rv>
  <rv s="0">
    <v>536870912</v>
    <v>Boulouparis</v>
    <v>d92d6604-f1d3-5297-0bff-f06c7c989035</v>
    <v>en-US</v>
    <v>Map</v>
  </rv>
  <rv s="0">
    <v>536870912</v>
    <v>Bourail</v>
    <v>0262ef3a-2e2d-2a12-8208-895a5e90cd25</v>
    <v>en-US</v>
    <v>Map</v>
  </rv>
  <rv s="0">
    <v>536870912</v>
    <v>Canala</v>
    <v>38dbcc78-4d0e-e1a5-b74c-2c80f9fb1f8a</v>
    <v>en-US</v>
    <v>Map</v>
  </rv>
  <rv s="0">
    <v>536870912</v>
    <v>Dumbéa</v>
    <v>3d5d634b-83de-3e8d-38d5-30c0bc60c40a</v>
    <v>en-US</v>
    <v>Map</v>
  </rv>
  <rv s="0">
    <v>536870912</v>
    <v>Farino</v>
    <v>528cd8f7-f473-922a-6ef1-18caa0765f66</v>
    <v>en-US</v>
    <v>Map</v>
  </rv>
  <rv s="0">
    <v>536870912</v>
    <v>Hienghène</v>
    <v>2ce509ac-719b-370a-014f-988eefeb9d32</v>
    <v>en-US</v>
    <v>Map</v>
  </rv>
  <rv s="0">
    <v>536870912</v>
    <v>Houaïlou</v>
    <v>301cc842-4909-e13f-bcdb-f1eaa1276cf6</v>
    <v>en-US</v>
    <v>Map</v>
  </rv>
  <rv s="0">
    <v>536870912</v>
    <v>L'Île-des-Pins</v>
    <v>18dd3525-0666-a0c8-ec32-021382a1a455</v>
    <v>en-US</v>
    <v>Map</v>
  </rv>
  <rv s="0">
    <v>536870912</v>
    <v>Kaala-Gomen</v>
    <v>8fbfe9c9-6850-baff-97d6-12bf82246436</v>
    <v>en-US</v>
    <v>Map</v>
  </rv>
  <rv s="0">
    <v>536870912</v>
    <v>Koné, New Caledonia</v>
    <v>3593319e-232f-b0bf-106c-174a06a2efc1</v>
    <v>en-US</v>
    <v>Map</v>
  </rv>
  <rv s="0">
    <v>536870912</v>
    <v>Kouaoua</v>
    <v>9226f039-efec-dd5f-38b2-820dd805d337</v>
    <v>en-US</v>
    <v>Map</v>
  </rv>
  <rv s="0">
    <v>536870912</v>
    <v>Koumac</v>
    <v>4e485e92-afc0-f4bc-f343-dec2bf1f64f6</v>
    <v>en-US</v>
    <v>Map</v>
  </rv>
  <rv s="0">
    <v>536870912</v>
    <v>La Foa</v>
    <v>401d1e18-149c-919c-a682-bf4d0f3de023</v>
    <v>en-US</v>
    <v>Map</v>
  </rv>
  <rv s="0">
    <v>536870912</v>
    <v>Maré Island</v>
    <v>460a6eb8-0e96-4315-8ef8-bdd8e1e84162</v>
    <v>en-US</v>
    <v>Map</v>
  </rv>
  <rv s="0">
    <v>536870912</v>
    <v>Moindou</v>
    <v>16fe9771-191d-7e5d-a401-fff5e104a9d5</v>
    <v>en-US</v>
    <v>Map</v>
  </rv>
  <rv s="0">
    <v>536870912</v>
    <v>Le Mont-Dore, New Caledonia</v>
    <v>6e22056c-ab52-e386-114a-092566418a6c</v>
    <v>en-US</v>
    <v>Map</v>
  </rv>
  <rv s="0">
    <v>536870912</v>
    <v>Ouégoa</v>
    <v>09bfb32b-5aef-8f8d-38b3-cc2233e96654</v>
    <v>en-US</v>
    <v>Map</v>
  </rv>
  <rv s="0">
    <v>536870912</v>
    <v>Païta</v>
    <v>b5560095-71c8-a8f7-c5d0-049d9e8b7b4b</v>
    <v>en-US</v>
    <v>Map</v>
  </rv>
  <rv s="0">
    <v>536870912</v>
    <v>Poindimié</v>
    <v>681bf652-513d-846d-5a95-7667d287094c</v>
    <v>en-US</v>
    <v>Map</v>
  </rv>
  <rv s="0">
    <v>536870912</v>
    <v>Ponérihouen</v>
    <v>8b5279fb-3986-ef36-b9e3-c94b80c3f487</v>
    <v>en-US</v>
    <v>Map</v>
  </rv>
  <rv s="0">
    <v>536870912</v>
    <v>Pouébo</v>
    <v>f371b925-aee2-8050-0576-ca56ea90c79d</v>
    <v>en-US</v>
    <v>Map</v>
  </rv>
  <rv s="0">
    <v>536870912</v>
    <v>Pouembout</v>
    <v>e4234a53-2580-c922-3d10-f9dc1344db2b</v>
    <v>en-US</v>
    <v>Map</v>
  </rv>
  <rv s="0">
    <v>536870912</v>
    <v>Poum</v>
    <v>095a60a2-a38e-f9bc-3124-0eb74f78a08c</v>
    <v>en-US</v>
    <v>Map</v>
  </rv>
  <rv s="0">
    <v>536870912</v>
    <v>Poya, New Caledonia</v>
    <v>cd477fae-a5f2-452e-93f4-63f6b3773e2f</v>
    <v>en-US</v>
    <v>Map</v>
  </rv>
  <rv s="0">
    <v>536870912</v>
    <v>Sarraméa</v>
    <v>180b2d06-565d-0f5d-d30d-147983de97b7</v>
    <v>en-US</v>
    <v>Map</v>
  </rv>
  <rv s="0">
    <v>536870912</v>
    <v>Thio, New Caledonia</v>
    <v>fd37de03-de8d-251a-f165-60f44559e432</v>
    <v>en-US</v>
    <v>Map</v>
  </rv>
  <rv s="0">
    <v>536870912</v>
    <v>Touho</v>
    <v>a8f588c8-292e-ba43-c0d6-ccc90ad4ed4c</v>
    <v>en-US</v>
    <v>Map</v>
  </rv>
  <rv s="0">
    <v>536870912</v>
    <v>Voh</v>
    <v>7ce4b3e6-61c8-f9ac-e390-a65e36072596</v>
    <v>en-US</v>
    <v>Map</v>
  </rv>
  <rv s="0">
    <v>536870912</v>
    <v>Yaté</v>
    <v>a200b245-1a7e-2300-f9b6-bd6eb43284b0</v>
    <v>en-US</v>
    <v>Map</v>
  </rv>
  <rv s="0">
    <v>536870912</v>
    <v>Isle of Pines</v>
    <v>ac68c95f-211d-f48e-d036-39d27f4c5f58</v>
    <v>en-US</v>
    <v>Map</v>
  </rv>
  <rv s="0">
    <v>536870912</v>
    <v>Ouvéa</v>
    <v>24ab5b57-19f0-aafb-64db-66519a64ad01</v>
    <v>en-US</v>
    <v>Map</v>
  </rv>
  <rv s="3">
    <v>25</v>
  </rv>
  <rv s="3">
    <v>26</v>
  </rv>
  <rv s="1">
    <fb>0.128000001907349</fb>
    <v>31</v>
  </rv>
  <rv s="1">
    <fb>204637</fb>
    <v>24</v>
  </rv>
  <rv s="9">
    <v>#VALUE!</v>
    <v>en-US</v>
    <v>25b2aeab-b390-d01e-1f7f-90be767bd899</v>
    <v>536870912</v>
    <v>1</v>
    <v>70</v>
    <v>71</v>
    <v>New Caledonia</v>
    <v>19</v>
    <v>20</v>
    <v>Map</v>
    <v>21</v>
    <v>72</v>
    <v>NC</v>
    <v>375</v>
    <v>376</v>
    <v>377</v>
    <v>378</v>
    <v>379</v>
    <v>380</v>
    <v>381</v>
    <v>382</v>
    <v>XPF</v>
    <v>New Caledonia is a group of islands in the southwest Pacific Ocean, 220 km southwest of Vanuatu and 1,210 km east of Australia. Located 16,100 km from Metropolitan France, it forms a sui generis collectivity of the French Republic, a legal ...</v>
    <v>383</v>
    <v>384</v>
    <v>385</v>
    <v>386</v>
    <v>379</v>
    <v>388</v>
    <v>389</v>
    <v>390</v>
    <v>New Caledonia</v>
    <v>Soyons unis, devenons frères</v>
    <v>391</v>
    <v>Nouvelle-Calédonie</v>
    <v>392</v>
    <v>393</v>
    <v>394</v>
    <v>427</v>
    <v>428</v>
    <v>429</v>
    <v>New Caledonia</v>
    <v>430</v>
    <v>mdp/vdpid/170</v>
  </rv>
  <rv s="2">
    <v>6</v>
    <v>21</v>
    <v>67</v>
    <v>3</v>
    <v>0</v>
    <v>Image of New Caledonia</v>
  </rv>
  <rv s="0">
    <v>536870912</v>
    <v>Uganda</v>
    <v>7d4e292c-ed0f-b242-321c-a056c115e6cc</v>
    <v>en-US</v>
    <v>Map</v>
  </rv>
  <rv s="1">
    <fb>0.71888090963494899</fb>
    <v>23</v>
  </rv>
  <rv s="1">
    <fb>241038</fb>
    <v>24</v>
  </rv>
  <rv s="1">
    <fb>46000</fb>
    <v>24</v>
  </rv>
  <rv s="1">
    <fb>38.134999999999998</fb>
    <v>25</v>
  </rv>
  <rv s="1">
    <fb>256</fb>
    <v>26</v>
  </rv>
  <rv s="0">
    <v>536870912</v>
    <v>Kampala</v>
    <v>67dc76a5-510b-2628-8dfa-cbbf87564c1c</v>
    <v>en-US</v>
    <v>Map</v>
  </rv>
  <rv s="1">
    <fb>5680.183</fb>
    <v>24</v>
  </rv>
  <rv s="1">
    <fb>173.871268176331</fb>
    <v>27</v>
  </rv>
  <rv s="1">
    <fb>2.8690942502055398E-2</fb>
    <v>23</v>
  </rv>
  <rv s="1">
    <fb>4.9550000000000001</fb>
    <v>25</v>
  </rv>
  <rv s="1">
    <fb>9.6838223061446696E-2</fb>
    <v>23</v>
  </rv>
  <rv s="1">
    <fb>0.94</fb>
    <v>29</v>
  </rv>
  <rv s="1">
    <fb>34387229486.400803</fb>
    <v>30</v>
  </rv>
  <rv s="1">
    <fb>1.0270471000000001</fb>
    <v>23</v>
  </rv>
  <rv s="1">
    <fb>4.8366400000000004E-2</fb>
    <v>23</v>
  </rv>
  <rv s="2">
    <v>7</v>
    <v>21</v>
    <v>74</v>
    <v>7</v>
    <v>0</v>
    <v>Image of Uganda</v>
  </rv>
  <rv s="1">
    <fb>33.799999999999997</fb>
    <v>28</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27</v>
  </rv>
  <rv s="4">
    <v>https://www.bing.com/search?q=uganda&amp;form=skydnc</v>
    <v>Learn more on Bing</v>
  </rv>
  <rv s="1">
    <fb>62.972999999999999</fb>
    <v>28</v>
  </rv>
  <rv s="1">
    <fb>375</fb>
    <v>28</v>
  </rv>
  <rv s="1">
    <fb>0.01</fb>
    <v>29</v>
  </rv>
  <rv s="3">
    <v>28</v>
  </rv>
  <rv s="1">
    <fb>0.40501093429999996</fb>
    <v>23</v>
  </rv>
  <rv s="1">
    <fb>0.16800000000000001</fb>
    <v>25</v>
  </rv>
  <rv s="1">
    <fb>50863850</fb>
    <v>24</v>
  </rv>
  <rv s="1">
    <fb>0.20399999999999999</fb>
    <v>23</v>
  </rv>
  <rv s="1">
    <fb>0.34200000000000003</fb>
    <v>23</v>
  </rv>
  <rv s="1">
    <fb>0.498</fb>
    <v>23</v>
  </rv>
  <rv s="1">
    <fb>2.5000000000000001E-2</fb>
    <v>23</v>
  </rv>
  <rv s="1">
    <fb>6.0999999999999999E-2</fb>
    <v>23</v>
  </rv>
  <rv s="1">
    <fb>9.8000000000000004E-2</fb>
    <v>23</v>
  </rv>
  <rv s="1">
    <fb>0.13800000000000001</fb>
    <v>23</v>
  </rv>
  <rv s="1">
    <fb>0.703369979858398</fb>
    <v>23</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29</v>
  </rv>
  <rv s="1">
    <fb>0.117391967515158</fb>
    <v>23</v>
  </rv>
  <rv s="3">
    <v>30</v>
  </rv>
  <rv s="1">
    <fb>0.33700000000000002</fb>
    <v>23</v>
  </rv>
  <rv s="1">
    <fb>1.8430000543594401E-2</fb>
    <v>31</v>
  </rv>
  <rv s="1">
    <fb>10784516</fb>
    <v>24</v>
  </rv>
  <rv s="10">
    <v>#VALUE!</v>
    <v>en-US</v>
    <v>7d4e292c-ed0f-b242-321c-a056c115e6cc</v>
    <v>536870912</v>
    <v>1</v>
    <v>77</v>
    <v>78</v>
    <v>Uganda</v>
    <v>19</v>
    <v>20</v>
    <v>Map</v>
    <v>21</v>
    <v>79</v>
    <v>UG</v>
    <v>434</v>
    <v>435</v>
    <v>436</v>
    <v>437</v>
    <v>438</v>
    <v>439</v>
    <v>440</v>
    <v>441</v>
    <v>442</v>
    <v>UGX</v>
    <v>Uganda, officially the Republic of Uganda, is a landlocked country in East Africa. It is bordered to the east by Kenya, to the north by South Sudan, to the west by the Democratic Republic of the Congo, to the south-west by Rwanda, and to the ...</v>
    <v>443</v>
    <v>444</v>
    <v>445</v>
    <v>446</v>
    <v>447</v>
    <v>448</v>
    <v>449</v>
    <v>450</v>
    <v>439</v>
    <v>454</v>
    <v>455</v>
    <v>456</v>
    <v>457</v>
    <v>458</v>
    <v>Uganda</v>
    <v>Oh Uganda, Land of Beauty</v>
    <v>459</v>
    <v>Uganda</v>
    <v>460</v>
    <v>461</v>
    <v>462</v>
    <v>463</v>
    <v>464</v>
    <v>465</v>
    <v>466</v>
    <v>467</v>
    <v>468</v>
    <v>469</v>
    <v>470</v>
    <v>583</v>
    <v>584</v>
    <v>585</v>
    <v>586</v>
    <v>587</v>
    <v>Uganda</v>
    <v>588</v>
    <v>mdp/vdpid/240</v>
  </rv>
  <rv s="2">
    <v>7</v>
    <v>21</v>
    <v>74</v>
    <v>3</v>
    <v>0</v>
    <v>Image of Uganda</v>
  </rv>
  <rv s="0">
    <v>536870912</v>
    <v>Argentina</v>
    <v>87153d87-9bb0-166a-3d56-613bdc274e1b</v>
    <v>en-US</v>
    <v>Map</v>
  </rv>
  <rv s="1">
    <fb>0.54335712119385104</fb>
    <v>23</v>
  </rv>
  <rv s="1">
    <fb>2780400</fb>
    <v>24</v>
  </rv>
  <rv s="1">
    <fb>105000</fb>
    <v>24</v>
  </rv>
  <rv s="1">
    <fb>17.021000000000001</fb>
    <v>25</v>
  </rv>
  <rv s="1">
    <fb>54</fb>
    <v>26</v>
  </rv>
  <rv s="0">
    <v>536870912</v>
    <v>Buenos Aires</v>
    <v>857a6814-3fe8-c414-84da-24018be87fce</v>
    <v>en-US</v>
    <v>Map</v>
  </rv>
  <rv s="1">
    <fb>201347.636</fb>
    <v>24</v>
  </rv>
  <rv s="1">
    <fb>232.75109166666701</fb>
    <v>27</v>
  </rv>
  <rv s="1">
    <fb>0.53548304349234199</fb>
    <v>23</v>
  </rv>
  <rv s="1">
    <fb>3074.70207056563</fb>
    <v>24</v>
  </rv>
  <rv s="1">
    <fb>2.2610000000000001</fb>
    <v>25</v>
  </rv>
  <rv s="1">
    <fb>9.7984058182512504E-2</fb>
    <v>23</v>
  </rv>
  <rv s="1">
    <fb>87.722407479689195</fb>
    <v>28</v>
  </rv>
  <rv s="1">
    <fb>1.1000000000000001</fb>
    <v>29</v>
  </rv>
  <rv s="1">
    <fb>449663446954.073</fb>
    <v>30</v>
  </rv>
  <rv s="1">
    <fb>1.0974146</fb>
    <v>23</v>
  </rv>
  <rv s="1">
    <fb>0.89958519999999997</fb>
    <v>23</v>
  </rv>
  <rv s="2">
    <v>8</v>
    <v>21</v>
    <v>81</v>
    <v>7</v>
    <v>0</v>
    <v>Image of Argentina</v>
  </rv>
  <rv s="1">
    <fb>8.8000000000000007</fb>
    <v>28</v>
  </rv>
  <rv s="0">
    <v>805306368</v>
    <v>Javier Milei (President)</v>
    <v>9e292152-d659-8459-891a-e2e34df73a4f</v>
    <v>en-US</v>
    <v>Generic</v>
  </rv>
  <rv s="0">
    <v>805306368</v>
    <v>Victoria Villarruel (Vice president)</v>
    <v>c9d496be-e912-ca9e-b72e-cd37e371c69a</v>
    <v>en-US</v>
    <v>Generic</v>
  </rv>
  <rv s="3">
    <v>31</v>
  </rv>
  <rv s="4">
    <v>https://www.bing.com/search?q=argentina&amp;form=skydnc</v>
    <v>Learn more on Bing</v>
  </rv>
  <rv s="1">
    <fb>76.52</fb>
    <v>28</v>
  </rv>
  <rv s="1">
    <fb>39393540000</fb>
    <v>30</v>
  </rv>
  <rv s="1">
    <fb>39</fb>
    <v>28</v>
  </rv>
  <rv s="1">
    <fb>3.35</fb>
    <v>29</v>
  </rv>
  <rv s="3">
    <v>32</v>
  </rv>
  <rv s="1">
    <fb>0.17628076140000001</fb>
    <v>23</v>
  </rv>
  <rv s="1">
    <fb>3.96</fb>
    <v>25</v>
  </rv>
  <rv s="1">
    <fb>46234830</fb>
    <v>24</v>
  </rv>
  <rv s="1">
    <fb>0.29899999999999999</fb>
    <v>23</v>
  </rv>
  <rv s="1">
    <fb>0.46500000000000002</fb>
    <v>23</v>
  </rv>
  <rv s="1">
    <fb>1.8000000000000002E-2</fb>
    <v>23</v>
  </rv>
  <rv s="1">
    <fb>0.05</fb>
    <v>23</v>
  </rv>
  <rv s="1">
    <fb>9.9000000000000005E-2</fb>
    <v>23</v>
  </rv>
  <rv s="1">
    <fb>0.154</fb>
    <v>23</v>
  </rv>
  <rv s="1">
    <fb>0.61301998138427694</fb>
    <v>23</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33</v>
  </rv>
  <rv s="1">
    <fb>0.10087499305375699</fb>
    <v>23</v>
  </rv>
  <rv s="3">
    <v>34</v>
  </rv>
  <rv s="1">
    <fb>1.0629999999999999</fb>
    <v>23</v>
  </rv>
  <rv s="1">
    <fb>9.7889995574951205E-2</fb>
    <v>31</v>
  </rv>
  <rv s="1">
    <fb>41339571</fb>
    <v>24</v>
  </rv>
  <rv s="6">
    <v>#VALUE!</v>
    <v>en-US</v>
    <v>87153d87-9bb0-166a-3d56-613bdc274e1b</v>
    <v>536870912</v>
    <v>1</v>
    <v>84</v>
    <v>37</v>
    <v>Argentina</v>
    <v>19</v>
    <v>20</v>
    <v>Map</v>
    <v>21</v>
    <v>85</v>
    <v>AR</v>
    <v>592</v>
    <v>593</v>
    <v>594</v>
    <v>595</v>
    <v>596</v>
    <v>597</v>
    <v>598</v>
    <v>599</v>
    <v>600</v>
    <v>ARS</v>
    <v>Argentina, officially the Argentine Republic, is a country in the southern half of South America. It covers an area of 2,780,085 km², making it the second-largest country in South America after Brazil, the fourth-largest country in the Americas, ...</v>
    <v>601</v>
    <v>602</v>
    <v>603</v>
    <v>604</v>
    <v>605</v>
    <v>606</v>
    <v>607</v>
    <v>608</v>
    <v>609</v>
    <v>610</v>
    <v>597</v>
    <v>613</v>
    <v>614</v>
    <v>615</v>
    <v>616</v>
    <v>617</v>
    <v>618</v>
    <v>Argentina</v>
    <v>Argentine National Anthem</v>
    <v>619</v>
    <v>República Argentina</v>
    <v>620</v>
    <v>621</v>
    <v>622</v>
    <v>342</v>
    <v>623</v>
    <v>624</v>
    <v>625</v>
    <v>626</v>
    <v>627</v>
    <v>628</v>
    <v>629</v>
    <v>653</v>
    <v>654</v>
    <v>655</v>
    <v>656</v>
    <v>657</v>
    <v>Argentina</v>
    <v>658</v>
    <v>mdp/vdpid/11</v>
  </rv>
  <rv s="2">
    <v>8</v>
    <v>21</v>
    <v>81</v>
    <v>3</v>
    <v>0</v>
    <v>Image of Argentina</v>
  </rv>
  <rv s="0">
    <v>536870912</v>
    <v>Australia</v>
    <v>06de2191-243d-a83f-6990-2eb1c7f3382a</v>
    <v>en-US</v>
    <v>Map</v>
  </rv>
  <rv s="1">
    <fb>0.48241944248714902</fb>
    <v>23</v>
  </rv>
  <rv s="1">
    <fb>7692024</fb>
    <v>24</v>
  </rv>
  <rv s="1">
    <fb>58000</fb>
    <v>24</v>
  </rv>
  <rv s="1">
    <fb>12.6</fb>
    <v>25</v>
  </rv>
  <rv s="1">
    <fb>61</fb>
    <v>26</v>
  </rv>
  <rv s="0">
    <v>536870912</v>
    <v>Canberra</v>
    <v>59ab58e3-2f00-9175-e7b8-76d910040855</v>
    <v>en-US</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2">
    <v>9</v>
    <v>21</v>
    <v>87</v>
    <v>7</v>
    <v>0</v>
    <v>Image of Australia</v>
  </rv>
  <rv s="1">
    <fb>3.1</fb>
    <v>28</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35</v>
  </rv>
  <rv s="4">
    <v>https://www.bing.com/search?q=australia&amp;form=skydnc</v>
    <v>Learn more on Bing</v>
  </rv>
  <rv s="1">
    <fb>82.748780487804893</fb>
    <v>28</v>
  </rv>
  <rv s="1">
    <fb>1487598500000</fb>
    <v>30</v>
  </rv>
  <rv s="1">
    <fb>6</fb>
    <v>28</v>
  </rv>
  <rv s="1">
    <fb>13.59</fb>
    <v>29</v>
  </rv>
  <rv s="3">
    <v>36</v>
  </rv>
  <rv s="1">
    <fb>0.19558295019999999</fb>
    <v>23</v>
  </rv>
  <rv s="1">
    <fb>3.6778</fb>
    <v>25</v>
  </rv>
  <rv s="1">
    <fb>25978935</fb>
    <v>24</v>
  </rv>
  <rv s="1">
    <fb>0.221</fb>
    <v>23</v>
  </rv>
  <rv s="1">
    <fb>0.27</fb>
    <v>23</v>
  </rv>
  <rv s="1">
    <fb>0.42100000000000004</fb>
    <v>23</v>
  </rv>
  <rv s="1">
    <fb>2.7999999999999997E-2</fb>
    <v>23</v>
  </rv>
  <rv s="1">
    <fb>7.400000000000001E-2</fb>
    <v>23</v>
  </rv>
  <rv s="1">
    <fb>0.122</fb>
    <v>23</v>
  </rv>
  <rv s="1">
    <fb>0.161</fb>
    <v>23</v>
  </rv>
  <rv s="1">
    <fb>0.65517997741699208</fb>
    <v>23</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37</v>
  </rv>
  <rv s="1">
    <fb>0.22985815296127299</fb>
    <v>23</v>
  </rv>
  <rv s="3">
    <v>38</v>
  </rv>
  <rv s="1">
    <fb>0.47399999999999998</fb>
    <v>23</v>
  </rv>
  <rv s="1">
    <fb>5.2680001258850098E-2</fb>
    <v>31</v>
  </rv>
  <rv s="1">
    <fb>21844756</fb>
    <v>24</v>
  </rv>
  <rv s="6">
    <v>#VALUE!</v>
    <v>en-US</v>
    <v>06de2191-243d-a83f-6990-2eb1c7f3382a</v>
    <v>536870912</v>
    <v>1</v>
    <v>90</v>
    <v>37</v>
    <v>Australia</v>
    <v>19</v>
    <v>20</v>
    <v>Map</v>
    <v>21</v>
    <v>91</v>
    <v>AU</v>
    <v>662</v>
    <v>663</v>
    <v>664</v>
    <v>665</v>
    <v>666</v>
    <v>667</v>
    <v>668</v>
    <v>669</v>
    <v>670</v>
    <v>AUD</v>
    <v>Australia, officially the Commonwealth of Australia, is a country comprising the mainland of the Australian continent, the island of Tasmania and numerous smaller islands. It has a total area of 7,688,287 km², making it the sixth-largest country ...</v>
    <v>671</v>
    <v>672</v>
    <v>673</v>
    <v>674</v>
    <v>675</v>
    <v>676</v>
    <v>677</v>
    <v>678</v>
    <v>679</v>
    <v>680</v>
    <v>681</v>
    <v>684</v>
    <v>685</v>
    <v>686</v>
    <v>687</v>
    <v>688</v>
    <v>689</v>
    <v>Australia</v>
    <v>Advance Australia Fair</v>
    <v>690</v>
    <v>Commonwealth of Australia</v>
    <v>691</v>
    <v>692</v>
    <v>693</v>
    <v>694</v>
    <v>695</v>
    <v>696</v>
    <v>697</v>
    <v>698</v>
    <v>699</v>
    <v>700</v>
    <v>701</v>
    <v>717</v>
    <v>718</v>
    <v>719</v>
    <v>720</v>
    <v>721</v>
    <v>Australia</v>
    <v>722</v>
    <v>mdp/vdpid/12</v>
  </rv>
  <rv s="2">
    <v>9</v>
    <v>21</v>
    <v>87</v>
    <v>3</v>
    <v>0</v>
    <v>Image of Australia</v>
  </rv>
  <rv s="0">
    <v>536870912</v>
    <v>Denmark</v>
    <v>95710a2f-c32d-4c03-bec0-7ff079db158d</v>
    <v>en-US</v>
    <v>Map</v>
  </rv>
  <rv s="1">
    <fb>0.62014765420338203</fb>
    <v>23</v>
  </rv>
  <rv s="1">
    <fb>42925.46</fb>
    <v>24</v>
  </rv>
  <rv s="1">
    <fb>15000</fb>
    <v>24</v>
  </rv>
  <rv s="1">
    <fb>10.6</fb>
    <v>25</v>
  </rv>
  <rv s="1">
    <fb>45</fb>
    <v>26</v>
  </rv>
  <rv s="0">
    <v>536870912</v>
    <v>Copenhagen</v>
    <v>8052664d-a70c-e1fa-c761-489d8c924b80</v>
    <v>en-US</v>
    <v>Map</v>
  </rv>
  <rv s="1">
    <fb>31785.556</fb>
    <v>24</v>
  </rv>
  <rv s="1">
    <fb>110.347290420498</fb>
    <v>27</v>
  </rv>
  <rv s="1">
    <fb>7.5813157251161901E-3</fb>
    <v>23</v>
  </rv>
  <rv s="1">
    <fb>5858.8015362874803</fb>
    <v>24</v>
  </rv>
  <rv s="1">
    <fb>1.73</fb>
    <v>25</v>
  </rv>
  <rv s="1">
    <fb>0.14699213400884101</fb>
    <v>23</v>
  </rv>
  <rv s="1">
    <fb>64.927089467566603</fb>
    <v>28</v>
  </rv>
  <rv s="1">
    <fb>1.55</fb>
    <v>29</v>
  </rv>
  <rv s="1">
    <fb>348078018463.90503</fb>
    <v>30</v>
  </rv>
  <rv s="1">
    <fb>1.0126809000000001</fb>
    <v>23</v>
  </rv>
  <rv s="1">
    <fb>0.8061602000000001</fb>
    <v>23</v>
  </rv>
  <rv s="2">
    <v>10</v>
    <v>21</v>
    <v>93</v>
    <v>7</v>
    <v>0</v>
    <v>Image of Denmark</v>
  </rv>
  <rv s="0">
    <v>805306368</v>
    <v>Frederik X (Monarch)</v>
    <v>665fc785-58e1-6330-943b-e070a89f8231</v>
    <v>en-US</v>
    <v>Generic</v>
  </rv>
  <rv s="0">
    <v>805306368</v>
    <v>Mette Frederiksen (Prime minister)</v>
    <v>080235cf-4453-82c5-a952-a9e6000ac49b</v>
    <v>en-US</v>
    <v>Generic</v>
  </rv>
  <rv s="3">
    <v>39</v>
  </rv>
  <rv s="4">
    <v>https://www.bing.com/search?q=denmark&amp;form=skydnc</v>
    <v>Learn more on Bing</v>
  </rv>
  <rv s="1">
    <fb>80.953658536585394</fb>
    <v>28</v>
  </rv>
  <rv s="1">
    <fb>151349870000</fb>
    <v>30</v>
  </rv>
  <rv s="1">
    <fb>4</fb>
    <v>28</v>
  </rv>
  <rv s="3">
    <v>40</v>
  </rv>
  <rv s="1">
    <fb>0.13722792379999998</fb>
    <v>23</v>
  </rv>
  <rv s="1">
    <fb>4.0099</fb>
    <v>25</v>
  </rv>
  <rv s="1">
    <fb>5903037</fb>
    <v>24</v>
  </rv>
  <rv s="1">
    <fb>0.21899999999999997</fb>
    <v>23</v>
  </rv>
  <rv s="1">
    <fb>0.24</fb>
    <v>23</v>
  </rv>
  <rv s="1">
    <fb>0.38100000000000001</fb>
    <v>23</v>
  </rv>
  <rv s="1">
    <fb>3.7000000000000005E-2</fb>
    <v>23</v>
  </rv>
  <rv s="1">
    <fb>9.0999999999999998E-2</fb>
    <v>23</v>
  </rv>
  <rv s="1">
    <fb>0.13699999999999998</fb>
    <v>23</v>
  </rv>
  <rv s="1">
    <fb>0.17199999999999999</fb>
    <v>23</v>
  </rv>
  <rv s="1">
    <fb>0.62217998504638705</fb>
    <v>23</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3">
    <v>41</v>
  </rv>
  <rv s="1">
    <fb>0.32382317837334801</fb>
    <v>23</v>
  </rv>
  <rv s="3">
    <v>42</v>
  </rv>
  <rv s="1">
    <fb>4.9130001068115201E-2</fb>
    <v>31</v>
  </rv>
  <rv s="1">
    <fb>5119978</fb>
    <v>24</v>
  </rv>
  <rv s="5">
    <v>#VALUE!</v>
    <v>en-US</v>
    <v>95710a2f-c32d-4c03-bec0-7ff079db158d</v>
    <v>536870912</v>
    <v>1</v>
    <v>96</v>
    <v>17</v>
    <v>Denmark</v>
    <v>19</v>
    <v>20</v>
    <v>Map</v>
    <v>21</v>
    <v>97</v>
    <v>DK</v>
    <v>726</v>
    <v>727</v>
    <v>728</v>
    <v>729</v>
    <v>730</v>
    <v>731</v>
    <v>732</v>
    <v>733</v>
    <v>734</v>
    <v>DKK</v>
    <v>Denmark is a Nordic country in Northern Europe. It is the metropole and most populous constituent of the Kingdom of Denmark, also known as the Danish Realm, a constitutionally unitary state that includes the autonomous territories of the Faroe ...</v>
    <v>735</v>
    <v>736</v>
    <v>737</v>
    <v>738</v>
    <v>739</v>
    <v>740</v>
    <v>741</v>
    <v>742</v>
    <v>743</v>
    <v>94</v>
    <v>731</v>
    <v>746</v>
    <v>747</v>
    <v>748</v>
    <v>749</v>
    <v>750</v>
    <v>Denmark</v>
    <v>Der er et yndigt land</v>
    <v>751</v>
    <v>Kongeriget Danmark</v>
    <v>752</v>
    <v>753</v>
    <v>754</v>
    <v>755</v>
    <v>756</v>
    <v>757</v>
    <v>758</v>
    <v>759</v>
    <v>760</v>
    <v>761</v>
    <v>762</v>
    <v>768</v>
    <v>769</v>
    <v>770</v>
    <v>343</v>
    <v>771</v>
    <v>Denmark</v>
    <v>772</v>
    <v>mdp/vdpid/61</v>
  </rv>
  <rv s="2">
    <v>10</v>
    <v>21</v>
    <v>93</v>
    <v>3</v>
    <v>0</v>
    <v>Image of Denmark</v>
  </rv>
  <rv s="0">
    <v>536870912</v>
    <v>Mozambique</v>
    <v>a7f78d5f-1f90-031f-0dbd-c31c66e057d5</v>
    <v>en-US</v>
    <v>Map</v>
  </rv>
  <rv s="1">
    <fb>0.63518909433098503</fb>
    <v>23</v>
  </rv>
  <rv s="1">
    <fb>801590</fb>
    <v>24</v>
  </rv>
  <rv s="1">
    <fb>11000</fb>
    <v>24</v>
  </rv>
  <rv s="1">
    <fb>37.520000000000003</fb>
    <v>25</v>
  </rv>
  <rv s="1">
    <fb>258</fb>
    <v>26</v>
  </rv>
  <rv s="0">
    <v>536870912</v>
    <v>Maputo</v>
    <v>d995e878-d96c-85c9-a3eb-fae711074afd</v>
    <v>en-US</v>
    <v>Map</v>
  </rv>
  <rv s="1">
    <fb>7942.7219999999998</fb>
    <v>24</v>
  </rv>
  <rv s="1">
    <fb>182.31478337639101</fb>
    <v>27</v>
  </rv>
  <rv s="1">
    <fb>2.7811063118294198E-2</fb>
    <v>23</v>
  </rv>
  <rv s="1">
    <fb>478.92117232933498</fb>
    <v>24</v>
  </rv>
  <rv s="1">
    <fb>4.8520000000000003</fb>
    <v>25</v>
  </rv>
  <rv s="1">
    <fb>0.47983928332994202</fb>
    <v>23</v>
  </rv>
  <rv s="1">
    <fb>12.6199534718635</fb>
    <v>28</v>
  </rv>
  <rv s="1">
    <fb>0.65</fb>
    <v>29</v>
  </rv>
  <rv s="1">
    <fb>14934159925.523399</fb>
    <v>30</v>
  </rv>
  <rv s="1">
    <fb>1.1260497999999999</fb>
    <v>23</v>
  </rv>
  <rv s="1">
    <fb>7.3125499999999996E-2</fb>
    <v>23</v>
  </rv>
  <rv s="2">
    <v>11</v>
    <v>21</v>
    <v>99</v>
    <v>7</v>
    <v>0</v>
    <v>Image of Mozambique</v>
  </rv>
  <rv s="1">
    <fb>54</fb>
    <v>28</v>
  </rv>
  <rv s="0">
    <v>805306368</v>
    <v>Daniel Chapo (President)</v>
    <v>db7012c2-0af9-88e4-9ea1-19537331dd45</v>
    <v>en-US</v>
    <v>Generic</v>
  </rv>
  <rv s="0">
    <v>805306368</v>
    <v>Maria Benvinda Levy (Prime minister)</v>
    <v>1c131e3c-98d5-72f6-b903-029c3d9dad0b</v>
    <v>en-US</v>
    <v>Generic</v>
  </rv>
  <rv s="3">
    <v>43</v>
  </rv>
  <rv s="4">
    <v>https://www.bing.com/search?q=mozambique&amp;form=skydnc</v>
    <v>Learn more on Bing</v>
  </rv>
  <rv s="1">
    <fb>60.162999999999997</fb>
    <v>28</v>
  </rv>
  <rv s="1">
    <fb>289</fb>
    <v>28</v>
  </rv>
  <rv s="1">
    <fb>0.27</fb>
    <v>29</v>
  </rv>
  <rv s="3">
    <v>44</v>
  </rv>
  <rv s="1">
    <fb>6.8464365599999993E-2</fb>
    <v>23</v>
  </rv>
  <rv s="1">
    <fb>8.3799999999999999E-2</fb>
    <v>25</v>
  </rv>
  <rv s="1">
    <fb>34206144</fb>
    <v>24</v>
  </rv>
  <rv s="1">
    <fb>0.17399999999999999</fb>
    <v>23</v>
  </rv>
  <rv s="1">
    <fb>0.45500000000000002</fb>
    <v>23</v>
  </rv>
  <rv s="1">
    <fb>0.59499999999999997</fb>
    <v>23</v>
  </rv>
  <rv s="1">
    <fb>4.2000000000000003E-2</fb>
    <v>23</v>
  </rv>
  <rv s="1">
    <fb>7.5999999999999998E-2</fb>
    <v>23</v>
  </rv>
  <rv s="1">
    <fb>0.11199999999999999</fb>
    <v>23</v>
  </rv>
  <rv s="1">
    <fb>0.78097000122070304</fb>
    <v>23</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45</v>
  </rv>
  <rv s="1">
    <fb>2.1625512934769699E-4</fb>
    <v>23</v>
  </rv>
  <rv s="3">
    <v>46</v>
  </rv>
  <rv s="1">
    <fb>0.36099999999999999</fb>
    <v>23</v>
  </rv>
  <rv s="1">
    <fb>3.2409999370575003E-2</fb>
    <v>31</v>
  </rv>
  <rv s="1">
    <fb>11092106</fb>
    <v>24</v>
  </rv>
  <rv s="11">
    <v>#VALUE!</v>
    <v>en-US</v>
    <v>a7f78d5f-1f90-031f-0dbd-c31c66e057d5</v>
    <v>536870912</v>
    <v>1</v>
    <v>102</v>
    <v>103</v>
    <v>Mozambique</v>
    <v>19</v>
    <v>20</v>
    <v>Map</v>
    <v>21</v>
    <v>104</v>
    <v>MZ</v>
    <v>776</v>
    <v>777</v>
    <v>778</v>
    <v>779</v>
    <v>780</v>
    <v>781</v>
    <v>782</v>
    <v>783</v>
    <v>784</v>
    <v>MZN</v>
    <v>Mozambique, officially the Republic of Mozambique, is a country in Southeast Africa bordered by the Indian Ocean to the east, Tanzania to the north, Malawi and Zambia to the northwest, Zimbabwe to the west, and Eswatini and South Africa to the ...</v>
    <v>785</v>
    <v>786</v>
    <v>787</v>
    <v>788</v>
    <v>789</v>
    <v>790</v>
    <v>791</v>
    <v>792</v>
    <v>793</v>
    <v>794</v>
    <v>781</v>
    <v>797</v>
    <v>798</v>
    <v>799</v>
    <v>800</v>
    <v>801</v>
    <v>Mozambique</v>
    <v>Pátria Amada</v>
    <v>802</v>
    <v>República de Moçambique</v>
    <v>803</v>
    <v>804</v>
    <v>805</v>
    <v>806</v>
    <v>807</v>
    <v>808</v>
    <v>276</v>
    <v>809</v>
    <v>810</v>
    <v>811</v>
    <v>812</v>
    <v>823</v>
    <v>824</v>
    <v>825</v>
    <v>826</v>
    <v>827</v>
    <v>Mozambique</v>
    <v>828</v>
    <v>mdp/vdpid/168</v>
  </rv>
  <rv s="2">
    <v>11</v>
    <v>21</v>
    <v>99</v>
    <v>3</v>
    <v>0</v>
    <v>Image of Mozambique</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12</v>
    <v>21</v>
    <v>106</v>
    <v>7</v>
    <v>0</v>
    <v>Image of France</v>
  </rv>
  <rv s="1">
    <fb>3.4</fb>
    <v>28</v>
  </rv>
  <rv s="0">
    <v>805306368</v>
    <v>François Bayrou (Prime minister)</v>
    <v>901a2dc7-aad0-c6da-f219-c2d7def8acba</v>
    <v>en-US</v>
    <v>Generic</v>
  </rv>
  <rv s="3">
    <v>47</v>
  </rv>
  <rv s="4">
    <v>https://www.bing.com/search?q=france&amp;form=skydnc</v>
    <v>Learn more on Bing</v>
  </rv>
  <rv s="1">
    <fb>82.526829268292701</fb>
    <v>28</v>
  </rv>
  <rv s="1">
    <fb>2365950236659.3599</fb>
    <v>30</v>
  </rv>
  <rv s="1">
    <fb>8</fb>
    <v>28</v>
  </rv>
  <rv s="1">
    <fb>11.16</fb>
    <v>29</v>
  </rv>
  <rv s="1">
    <fb>6.7968269799999995E-2</fb>
    <v>23</v>
  </rv>
  <rv s="1">
    <fb>3.2671999999999999</fb>
    <v>25</v>
  </rv>
  <rv s="1">
    <fb>67749632</fb>
    <v>24</v>
  </rv>
  <rv s="1">
    <fb>0.25800000000000001</fb>
    <v>23</v>
  </rv>
  <rv s="1">
    <fb>0.4</fb>
    <v>23</v>
  </rv>
  <rv s="1">
    <fb>3.2000000000000001E-2</fb>
    <v>23</v>
  </rv>
  <rv s="1">
    <fb>8.1000000000000003E-2</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48</v>
  </rv>
  <rv s="1">
    <fb>0.24229980509910898</fb>
    <v>23</v>
  </rv>
  <rv s="1">
    <fb>0.60699999999999998</fb>
    <v>23</v>
  </rv>
  <rv s="1">
    <fb>8.4270000457763714E-2</fb>
    <v>31</v>
  </rv>
  <rv s="1">
    <fb>54123364</fb>
    <v>24</v>
  </rv>
  <rv s="6">
    <v>#VALUE!</v>
    <v>en-US</v>
    <v>c7bfe2de-4f82-e23c-ae42-8544b5b5c0ea</v>
    <v>536870912</v>
    <v>1</v>
    <v>109</v>
    <v>37</v>
    <v>France</v>
    <v>19</v>
    <v>20</v>
    <v>Map</v>
    <v>21</v>
    <v>110</v>
    <v>FR</v>
    <v>832</v>
    <v>833</v>
    <v>834</v>
    <v>835</v>
    <v>836</v>
    <v>837</v>
    <v>838</v>
    <v>839</v>
    <v>840</v>
    <v>EUR</v>
    <v>France, officially the French Republic, is a country located primarily in Western Europe. Its overseas regions and territories include French Guiana in South America, Saint Pierre and Miquelon in the North Atlantic, the French West Indies, and ...</v>
    <v>841</v>
    <v>842</v>
    <v>843</v>
    <v>844</v>
    <v>845</v>
    <v>846</v>
    <v>847</v>
    <v>848</v>
    <v>849</v>
    <v>850</v>
    <v>837</v>
    <v>852</v>
    <v>853</v>
    <v>854</v>
    <v>855</v>
    <v>856</v>
    <v>857</v>
    <v>France</v>
    <v>La Marseillaise</v>
    <v>391</v>
    <v>République française</v>
    <v>858</v>
    <v>859</v>
    <v>860</v>
    <v>755</v>
    <v>861</v>
    <v>862</v>
    <v>863</v>
    <v>864</v>
    <v>347</v>
    <v>865</v>
    <v>866</v>
    <v>891</v>
    <v>892</v>
    <v>770</v>
    <v>893</v>
    <v>894</v>
    <v>France</v>
    <v>895</v>
    <v>mdp/vdpid/84</v>
  </rv>
  <rv s="2">
    <v>12</v>
    <v>21</v>
    <v>106</v>
    <v>3</v>
    <v>0</v>
    <v>Image of France</v>
  </rv>
  <rv s="0">
    <v>536870912</v>
    <v>Haiti</v>
    <v>47bf785f-7dcc-ee2e-0dee-ca3b949b1845</v>
    <v>en-US</v>
    <v>Map</v>
  </rv>
  <rv s="1">
    <fb>0.66763425253991304</fb>
    <v>23</v>
  </rv>
  <rv s="1">
    <fb>27750</fb>
    <v>24</v>
  </rv>
  <rv s="1">
    <fb>0</fb>
    <v>24</v>
  </rv>
  <rv s="1">
    <fb>24.349</fb>
    <v>25</v>
  </rv>
  <rv s="1">
    <fb>509</fb>
    <v>26</v>
  </rv>
  <rv s="0">
    <v>536870912</v>
    <v>Port-au-Prince</v>
    <v>4b781579-db0f-2658-a031-a07878e36f2a</v>
    <v>en-US</v>
    <v>Map</v>
  </rv>
  <rv s="1">
    <fb>2977.6039999999998</fb>
    <v>24</v>
  </rv>
  <rv s="1">
    <fb>179.291095505561</fb>
    <v>27</v>
  </rv>
  <rv s="1">
    <fb>0.124814111170435</fb>
    <v>23</v>
  </rv>
  <rv s="1">
    <fb>39.055805057688801</fb>
    <v>24</v>
  </rv>
  <rv s="1">
    <fb>2.9350000000000001</fb>
    <v>25</v>
  </rv>
  <rv s="1">
    <fb>3.4905659270044298E-2</fb>
    <v>23</v>
  </rv>
  <rv s="1">
    <fb>22.0158940416487</fb>
    <v>28</v>
  </rv>
  <rv s="1">
    <fb>0.81</fb>
    <v>29</v>
  </rv>
  <rv s="1">
    <fb>8498981820.87012</fb>
    <v>30</v>
  </rv>
  <rv s="1">
    <fb>1.1357151000000001</fb>
    <v>23</v>
  </rv>
  <rv s="1">
    <fb>1.0534300000000002E-2</fb>
    <v>23</v>
  </rv>
  <rv s="2">
    <v>13</v>
    <v>21</v>
    <v>112</v>
    <v>7</v>
    <v>0</v>
    <v>Image of Haiti</v>
  </rv>
  <rv s="1">
    <fb>49.5</fb>
    <v>28</v>
  </rv>
  <rv s="0">
    <v>805306368</v>
    <v>Alix Didier Fils-Aimé (Prime minister)</v>
    <v>e056086f-fdb9-299d-0e6c-69f62cf4a661</v>
    <v>en-US</v>
    <v>Generic</v>
  </rv>
  <rv s="3">
    <v>49</v>
  </rv>
  <rv s="4">
    <v>https://www.bing.com/search?q=haiti&amp;form=skydnc</v>
    <v>Learn more on Bing</v>
  </rv>
  <rv s="1">
    <fb>63.66</fb>
    <v>28</v>
  </rv>
  <rv s="1">
    <fb>480</fb>
    <v>28</v>
  </rv>
  <rv s="1">
    <fb>0.25</fb>
    <v>29</v>
  </rv>
  <rv s="3">
    <v>50</v>
  </rv>
  <rv s="1">
    <fb>0.36272460369999998</fb>
    <v>23</v>
  </rv>
  <rv s="1">
    <fb>0.23430000000000001</fb>
    <v>25</v>
  </rv>
  <rv s="1">
    <fb>11584996</fb>
    <v>24</v>
  </rv>
  <rv s="1">
    <fb>0.312</fb>
    <v>23</v>
  </rv>
  <rv s="1">
    <fb>0.47100000000000003</fb>
    <v>23</v>
  </rv>
  <rv s="1">
    <fb>2.1000000000000001E-2</fb>
    <v>23</v>
  </rv>
  <rv s="1">
    <fb>5.5E-2</fb>
    <v>23</v>
  </rv>
  <rv s="1">
    <fb>0.10300000000000001</fb>
    <v>23</v>
  </rv>
  <rv s="1">
    <fb>0.152</fb>
    <v>23</v>
  </rv>
  <rv s="1">
    <fb>0.67183998107910203</fb>
    <v>23</v>
  </rv>
  <rv s="0">
    <v>536870912</v>
    <v>Artibonite</v>
    <v>b0ab565f-30b3-44e3-aa9c-5269f1a4cb3e</v>
    <v>en-US</v>
    <v>Map</v>
  </rv>
  <rv s="0">
    <v>536870912</v>
    <v>Centre</v>
    <v>8aeb0f89-7bc5-0cfa-ada9-52a301afac3e</v>
    <v>en-US</v>
    <v>Map</v>
  </rv>
  <rv s="0">
    <v>536870912</v>
    <v>Grand'Anse</v>
    <v>35acff3e-ed0d-c876-abe3-74bf0007d13a</v>
    <v>en-US</v>
    <v>Map</v>
  </rv>
  <rv s="0">
    <v>536870912</v>
    <v>Nippes</v>
    <v>741d6e84-7892-134f-a9ec-3be6a7d592b0</v>
    <v>en-US</v>
    <v>Map</v>
  </rv>
  <rv s="0">
    <v>536870912</v>
    <v>Nord</v>
    <v>340e6a72-a122-33e3-cdc5-cb4cda82ce11</v>
    <v>en-US</v>
    <v>Map</v>
  </rv>
  <rv s="0">
    <v>536870912</v>
    <v>Nord-Est</v>
    <v>35e46ad6-b977-3dfa-4160-778d80c108aa</v>
    <v>en-US</v>
    <v>Map</v>
  </rv>
  <rv s="0">
    <v>536870912</v>
    <v>Nord-Ouest</v>
    <v>0a705a98-d338-5363-2bf9-8b37776ad26c</v>
    <v>en-US</v>
    <v>Map</v>
  </rv>
  <rv s="0">
    <v>536870912</v>
    <v>Ouest</v>
    <v>c4250950-865b-209a-127b-d68800a778a8</v>
    <v>en-US</v>
    <v>Map</v>
  </rv>
  <rv s="0">
    <v>536870912</v>
    <v>Sud-Est</v>
    <v>2e30aee8-ff11-ac44-b8f2-95c77b15952f</v>
    <v>en-US</v>
    <v>Map</v>
  </rv>
  <rv s="0">
    <v>536870912</v>
    <v>Sud</v>
    <v>5d417cae-e968-2b61-858a-cf87b57bb814</v>
    <v>en-US</v>
    <v>Map</v>
  </rv>
  <rv s="3">
    <v>51</v>
  </rv>
  <rv s="1">
    <fb>0.42700000000000005</fb>
    <v>23</v>
  </rv>
  <rv s="1">
    <fb>0.137810001373291</fb>
    <v>31</v>
  </rv>
  <rv s="1">
    <fb>6328948</fb>
    <v>24</v>
  </rv>
  <rv s="12">
    <v>#VALUE!</v>
    <v>en-US</v>
    <v>47bf785f-7dcc-ee2e-0dee-ca3b949b1845</v>
    <v>536870912</v>
    <v>1</v>
    <v>115</v>
    <v>116</v>
    <v>Haiti</v>
    <v>19</v>
    <v>20</v>
    <v>Map</v>
    <v>21</v>
    <v>117</v>
    <v>HT</v>
    <v>899</v>
    <v>900</v>
    <v>901</v>
    <v>902</v>
    <v>903</v>
    <v>904</v>
    <v>905</v>
    <v>906</v>
    <v>907</v>
    <v>HTG</v>
    <v>Haiti, officially the Republic of Haiti, is a country on the island of Hispaniola in the Caribbean Sea, east of Cuba and Jamaica, and south of The Bahamas. It occupies the western three-eighths of the island, which it shares with the Dominican ...</v>
    <v>908</v>
    <v>909</v>
    <v>910</v>
    <v>911</v>
    <v>912</v>
    <v>913</v>
    <v>914</v>
    <v>915</v>
    <v>916</v>
    <v>917</v>
    <v>904</v>
    <v>919</v>
    <v>920</v>
    <v>921</v>
    <v>922</v>
    <v>923</v>
    <v>Haiti</v>
    <v>La Dessalinienne</v>
    <v>924</v>
    <v>Haïti</v>
    <v>925</v>
    <v>926</v>
    <v>927</v>
    <v>755</v>
    <v>928</v>
    <v>929</v>
    <v>930</v>
    <v>931</v>
    <v>932</v>
    <v>933</v>
    <v>934</v>
    <v>945</v>
    <v>189</v>
    <v>946</v>
    <v>947</v>
    <v>Haiti</v>
    <v>948</v>
    <v>mdp/vdpid/103</v>
  </rv>
  <rv s="2">
    <v>13</v>
    <v>21</v>
    <v>112</v>
    <v>3</v>
    <v>0</v>
    <v>Image of Haiti</v>
  </rv>
  <rv s="0">
    <v>536870912</v>
    <v>Saudi Arabia</v>
    <v>672bc136-22f9-3750-0459-2fbd2340f892</v>
    <v>en-US</v>
    <v>Map</v>
  </rv>
  <rv s="1">
    <fb>0.80764668394047501</fb>
    <v>23</v>
  </rv>
  <rv s="1">
    <fb>2250000</fb>
    <v>24</v>
  </rv>
  <rv s="1">
    <fb>252000</fb>
    <v>24</v>
  </rv>
  <rv s="1">
    <fb>17.797999999999998</fb>
    <v>25</v>
  </rv>
  <rv s="1">
    <fb>966</fb>
    <v>26</v>
  </rv>
  <rv s="0">
    <v>536870912</v>
    <v>Riyadh</v>
    <v>77f8babc-744b-01c3-105d-fd8a09a9f9c3</v>
    <v>en-US</v>
    <v>Map</v>
  </rv>
  <rv s="1">
    <fb>563449.21799999999</fb>
    <v>24</v>
  </rv>
  <rv s="1">
    <fb>118.399825471917</fb>
    <v>27</v>
  </rv>
  <rv s="1">
    <fb>-1.2060168826831901E-2</fb>
    <v>23</v>
  </rv>
  <rv s="1">
    <fb>9401.3667693566804</fb>
    <v>24</v>
  </rv>
  <rv s="1">
    <fb>2.319</fb>
    <v>25</v>
  </rv>
  <rv s="1">
    <fb>4.5448413492177901E-3</fb>
    <v>23</v>
  </rv>
  <rv s="1">
    <fb>99.928018621746105</fb>
    <v>28</v>
  </rv>
  <rv s="1">
    <fb>0.24</fb>
    <v>29</v>
  </rv>
  <rv s="1">
    <fb>792966838161.65906</fb>
    <v>30</v>
  </rv>
  <rv s="1">
    <fb>0.99769900000000011</fb>
    <v>23</v>
  </rv>
  <rv s="1">
    <fb>0.68039890000000003</fb>
    <v>23</v>
  </rv>
  <rv s="2">
    <v>14</v>
    <v>21</v>
    <v>119</v>
    <v>7</v>
    <v>0</v>
    <v>Image of Saudi Arabia</v>
  </rv>
  <rv s="0">
    <v>805306368</v>
    <v>Salman of Saudi Arabia (King)</v>
    <v>3b5a69d0-c16b-2cb2-fb8c-65e7c9a377e6</v>
    <v>en-US</v>
    <v>Generic</v>
  </rv>
  <rv s="0">
    <v>805306368</v>
    <v>Mohammed bin Salman (Prime minister)</v>
    <v>485957f4-5f7f-4ecb-8ef8-627eb3f0b28a</v>
    <v>en-US</v>
    <v>Generic</v>
  </rv>
  <rv s="3">
    <v>52</v>
  </rv>
  <rv s="4">
    <v>https://www.bing.com/search?q=saudi+arabia&amp;form=skydnc</v>
    <v>Learn more on Bing</v>
  </rv>
  <rv s="1">
    <fb>74.998000000000005</fb>
    <v>28</v>
  </rv>
  <rv s="1">
    <fb>2406819600000</fb>
    <v>30</v>
  </rv>
  <rv s="1">
    <fb>17</fb>
    <v>28</v>
  </rv>
  <rv s="1">
    <fb>3.85</fb>
    <v>29</v>
  </rv>
  <rv s="1">
    <fb>0.1497993758</fb>
    <v>23</v>
  </rv>
  <rv s="1">
    <fb>2.6116999999999999</fb>
    <v>25</v>
  </rv>
  <rv s="1">
    <fb>36408820</fb>
    <v>24</v>
  </rv>
  <rv s="1">
    <fb>0.55880001068115204</fb>
    <v>23</v>
  </rv>
  <rv s="0">
    <v>536870912</v>
    <v>Al-Bahah Province</v>
    <v>7992ca77-e569-6ff5-fb2f-bffd80b286d2</v>
    <v>en-US</v>
    <v>Map</v>
  </rv>
  <rv s="0">
    <v>536870912</v>
    <v>Northern Borders Province</v>
    <v>c96091e3-d809-87b1-d966-1f062b46b0cb</v>
    <v>en-US</v>
    <v>Map</v>
  </rv>
  <rv s="0">
    <v>536870912</v>
    <v>Al-Jawf Province</v>
    <v>fc636922-9e6f-97d1-e832-9a5ebe95f40f</v>
    <v>en-US</v>
    <v>Map</v>
  </rv>
  <rv s="0">
    <v>536870912</v>
    <v>Medina Province</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Ḥa'il Province</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53</v>
  </rv>
  <rv s="1">
    <fb>8.92574503531601E-2</fb>
    <v>23</v>
  </rv>
  <rv s="1">
    <fb>0.157</fb>
    <v>23</v>
  </rv>
  <rv s="1">
    <fb>5.9270000457763698E-2</fb>
    <v>31</v>
  </rv>
  <rv s="1">
    <fb>28807838</fb>
    <v>24</v>
  </rv>
  <rv s="13">
    <v>#VALUE!</v>
    <v>en-US</v>
    <v>672bc136-22f9-3750-0459-2fbd2340f892</v>
    <v>536870912</v>
    <v>1</v>
    <v>122</v>
    <v>123</v>
    <v>Saudi Arabia</v>
    <v>19</v>
    <v>20</v>
    <v>Map</v>
    <v>21</v>
    <v>124</v>
    <v>SA</v>
    <v>952</v>
    <v>953</v>
    <v>954</v>
    <v>955</v>
    <v>956</v>
    <v>957</v>
    <v>958</v>
    <v>959</v>
    <v>960</v>
    <v>SAR</v>
    <v>Saudi Arabia, officially the Kingdom of Saudi Arabia, is a country in West Asia. Located in the centre of the Middle East, it covers the bulk of the Arabian Peninsula and has a land area of about 2,150,000 km², making it the fifth-largest ...</v>
    <v>961</v>
    <v>962</v>
    <v>963</v>
    <v>964</v>
    <v>965</v>
    <v>966</v>
    <v>967</v>
    <v>968</v>
    <v>969</v>
    <v>688</v>
    <v>957</v>
    <v>972</v>
    <v>973</v>
    <v>974</v>
    <v>975</v>
    <v>976</v>
    <v>977</v>
    <v>Saudi Arabia</v>
    <v>Chant of the Saudi Nation</v>
    <v>27</v>
    <v>الْمَمْلَكَةُ الْعَرَبِيَّةُ السُّعُودِيَّة</v>
    <v>978</v>
    <v>979</v>
    <v>980</v>
    <v>981</v>
    <v>995</v>
    <v>996</v>
    <v>235</v>
    <v>997</v>
    <v>998</v>
    <v>Saudi Arabia</v>
    <v>999</v>
    <v>mdp/vdpid/205</v>
  </rv>
  <rv s="2">
    <v>14</v>
    <v>21</v>
    <v>119</v>
    <v>3</v>
    <v>0</v>
    <v>Image of Saudi Arabia</v>
  </rv>
  <rv s="0">
    <v>536870912</v>
    <v>Uruguay</v>
    <v>4d1c354d-d080-b633-86bc-0bad862c8cc1</v>
    <v>en-US</v>
    <v>Map</v>
  </rv>
  <rv s="1">
    <fb>0.82559705230116509</fb>
    <v>23</v>
  </rv>
  <rv s="1">
    <fb>176215</fb>
    <v>24</v>
  </rv>
  <rv s="1">
    <fb>13.856999999999999</fb>
    <v>25</v>
  </rv>
  <rv s="1">
    <fb>598</fb>
    <v>26</v>
  </rv>
  <rv s="0">
    <v>536870912</v>
    <v>Montevideo</v>
    <v>6f057c0a-9767-4c6b-b46f-6095e75df6ce</v>
    <v>en-US</v>
    <v>Map</v>
  </rv>
  <rv s="1">
    <fb>6765.6149999999998</fb>
    <v>24</v>
  </rv>
  <rv s="1">
    <fb>202.92198338614401</fb>
    <v>27</v>
  </rv>
  <rv s="1">
    <fb>7.8819887087962198E-2</fb>
    <v>23</v>
  </rv>
  <rv s="1">
    <fb>3085.1944193006002</fb>
    <v>24</v>
  </rv>
  <rv s="1">
    <fb>1.9730000000000001</fb>
    <v>25</v>
  </rv>
  <rv s="1">
    <fb>0.106715803350153</fb>
    <v>23</v>
  </rv>
  <rv s="1">
    <fb>46.270307888488801</fb>
    <v>28</v>
  </rv>
  <rv s="1">
    <fb>1.5</fb>
    <v>29</v>
  </rv>
  <rv s="1">
    <fb>56045912952.342003</fb>
    <v>30</v>
  </rv>
  <rv s="1">
    <fb>1.0845944000000001</fb>
    <v>23</v>
  </rv>
  <rv s="1">
    <fb>0.63125770000000003</fb>
    <v>23</v>
  </rv>
  <rv s="2">
    <v>15</v>
    <v>21</v>
    <v>126</v>
    <v>7</v>
    <v>0</v>
    <v>Image of Uruguay</v>
  </rv>
  <rv s="1">
    <fb>6.4</fb>
    <v>28</v>
  </rv>
  <rv s="0">
    <v>805306368</v>
    <v>Luis Lacalle Pou (President)</v>
    <v>45b12faf-c863-9c49-f448-8d6570636f58</v>
    <v>en-US</v>
    <v>Generic</v>
  </rv>
  <rv s="0">
    <v>805306368</v>
    <v>Beatriz Argimón (Vice president)</v>
    <v>fdad8b43-7954-7971-e1d7-65aea1df14f9</v>
    <v>en-US</v>
    <v>Generic</v>
  </rv>
  <rv s="3">
    <v>54</v>
  </rv>
  <rv s="4">
    <v>https://www.bing.com/search?q=uruguay&amp;form=skydnc</v>
    <v>Learn more on Bing</v>
  </rv>
  <rv s="1">
    <fb>77.77</fb>
    <v>28</v>
  </rv>
  <rv s="1">
    <fb>283800000</fb>
    <v>30</v>
  </rv>
  <rv s="1">
    <fb>1.66</fb>
    <v>29</v>
  </rv>
  <rv s="3">
    <v>55</v>
  </rv>
  <rv s="1">
    <fb>0.16191438689999998</fb>
    <v>23</v>
  </rv>
  <rv s="1">
    <fb>5.0499000000000001</fb>
    <v>25</v>
  </rv>
  <rv s="1">
    <fb>3422794</fb>
    <v>24</v>
  </rv>
  <rv s="1">
    <fb>0.22500000000000001</fb>
    <v>23</v>
  </rv>
  <rv s="1">
    <fb>0.29699999999999999</fb>
    <v>23</v>
  </rv>
  <rv s="1">
    <fb>0.45899999999999996</fb>
    <v>23</v>
  </rv>
  <rv s="1">
    <fb>2.3E-2</fb>
    <v>23</v>
  </rv>
  <rv s="1">
    <fb>5.9000000000000004E-2</fb>
    <v>23</v>
  </rv>
  <rv s="1">
    <fb>0.10400000000000001</fb>
    <v>23</v>
  </rv>
  <rv s="1">
    <fb>0.153</fb>
    <v>23</v>
  </rv>
  <rv s="1">
    <fb>0.64021003723144498</fb>
    <v>23</v>
  </rv>
  <rv s="0">
    <v>536870912</v>
    <v>Artigas Department</v>
    <v>fba8474e-01a4-b560-b9db-3632789d7418</v>
    <v>en-US</v>
    <v>Map</v>
  </rv>
  <rv s="0">
    <v>536870912</v>
    <v>Canelones Department</v>
    <v>47a6cb77-1084-cc26-db7c-3a31f25cad6c</v>
    <v>en-US</v>
    <v>Map</v>
  </rv>
  <rv s="0">
    <v>536870912</v>
    <v>Cerro Largo Department</v>
    <v>17cbef99-9025-55af-1bf6-693b24e4cbf8</v>
    <v>en-US</v>
    <v>Map</v>
  </rv>
  <rv s="0">
    <v>536870912</v>
    <v>Colonia Department</v>
    <v>794441ed-35f5-6a38-65fe-1bd820a78487</v>
    <v>en-US</v>
    <v>Map</v>
  </rv>
  <rv s="0">
    <v>536870912</v>
    <v>Durazno Department</v>
    <v>812de676-d0a2-23e3-f7e6-3e002da3a2ca</v>
    <v>en-US</v>
    <v>Map</v>
  </rv>
  <rv s="0">
    <v>536870912</v>
    <v>Flores Department</v>
    <v>8744bd18-02b9-d69c-5205-c77980587fa8</v>
    <v>en-US</v>
    <v>Map</v>
  </rv>
  <rv s="0">
    <v>536870912</v>
    <v>Florida Department</v>
    <v>ea047b14-8780-2d2b-754d-7fb89f334f00</v>
    <v>en-US</v>
    <v>Map</v>
  </rv>
  <rv s="0">
    <v>536870912</v>
    <v>Lavalleja Department</v>
    <v>10d28e4e-b416-05ae-493b-27e45db3a2a5</v>
    <v>en-US</v>
    <v>Map</v>
  </rv>
  <rv s="0">
    <v>536870912</v>
    <v>Maldonado Department</v>
    <v>bc35c120-ecdd-02db-b583-d31b4a2752db</v>
    <v>en-US</v>
    <v>Map</v>
  </rv>
  <rv s="0">
    <v>536870912</v>
    <v>Montevideo Department</v>
    <v>b91bb4e2-7350-50c2-c5ec-7a29179101c8</v>
    <v>en-US</v>
    <v>Map</v>
  </rv>
  <rv s="0">
    <v>536870912</v>
    <v>Paysandú Department</v>
    <v>62ccb945-3081-60ca-acbc-2879d5666afa</v>
    <v>en-US</v>
    <v>Map</v>
  </rv>
  <rv s="0">
    <v>536870912</v>
    <v>Río Negro Department</v>
    <v>c51cdc11-8d24-b6c6-218e-1bf15937ed9f</v>
    <v>en-US</v>
    <v>Map</v>
  </rv>
  <rv s="0">
    <v>536870912</v>
    <v>Rivera Department</v>
    <v>93dab529-8b73-8eaa-840b-3bfd75594642</v>
    <v>en-US</v>
    <v>Map</v>
  </rv>
  <rv s="0">
    <v>536870912</v>
    <v>Rocha Department</v>
    <v>6ec9f1ef-cd41-1cd6-4b5b-098fdf2c9a42</v>
    <v>en-US</v>
    <v>Map</v>
  </rv>
  <rv s="0">
    <v>536870912</v>
    <v>Salto Department</v>
    <v>03610b7b-013c-0ee8-410e-862a629b2ea6</v>
    <v>en-US</v>
    <v>Map</v>
  </rv>
  <rv s="0">
    <v>536870912</v>
    <v>San José Department</v>
    <v>430941cb-a24d-6855-7fd1-c2de5e0eafb0</v>
    <v>en-US</v>
    <v>Map</v>
  </rv>
  <rv s="0">
    <v>536870912</v>
    <v>Soriano Department</v>
    <v>20c5f360-f062-1dba-7326-b35033e2d45b</v>
    <v>en-US</v>
    <v>Map</v>
  </rv>
  <rv s="0">
    <v>536870912</v>
    <v>Tacuarembó Department</v>
    <v>3d3ab1e0-e4dd-a712-e9ed-4e8019c73c8b</v>
    <v>en-US</v>
    <v>Map</v>
  </rv>
  <rv s="0">
    <v>536870912</v>
    <v>Treinta y Tres Department</v>
    <v>ce5de2e0-0829-6413-4cfe-22c8fb1f8bb1</v>
    <v>en-US</v>
    <v>Map</v>
  </rv>
  <rv s="3">
    <v>56</v>
  </rv>
  <rv s="1">
    <fb>0.20091963021411099</fb>
    <v>23</v>
  </rv>
  <rv s="3">
    <v>57</v>
  </rv>
  <rv s="1">
    <fb>0.41799999999999998</fb>
    <v>23</v>
  </rv>
  <rv s="1">
    <fb>8.7309999465942395E-2</fb>
    <v>31</v>
  </rv>
  <rv s="1">
    <fb>3303394</fb>
    <v>24</v>
  </rv>
  <rv s="6">
    <v>#VALUE!</v>
    <v>en-US</v>
    <v>4d1c354d-d080-b633-86bc-0bad862c8cc1</v>
    <v>536870912</v>
    <v>1</v>
    <v>129</v>
    <v>37</v>
    <v>Uruguay</v>
    <v>19</v>
    <v>20</v>
    <v>Map</v>
    <v>21</v>
    <v>130</v>
    <v>UY</v>
    <v>1003</v>
    <v>1004</v>
    <v>198</v>
    <v>1005</v>
    <v>1006</v>
    <v>1007</v>
    <v>1008</v>
    <v>1009</v>
    <v>1010</v>
    <v>UYU</v>
    <v>Uruguay, officially the Oriental Republic of Uruguay, is a country in South America. It shares borders with Argentina to its west and southwest and Brazil to its north and northeast, while bordering the Río de la Plata to the south and the ...</v>
    <v>1011</v>
    <v>1012</v>
    <v>1013</v>
    <v>1014</v>
    <v>1015</v>
    <v>1016</v>
    <v>1017</v>
    <v>1018</v>
    <v>1019</v>
    <v>1020</v>
    <v>1007</v>
    <v>1023</v>
    <v>1024</v>
    <v>1025</v>
    <v>1026</v>
    <v>976</v>
    <v>1027</v>
    <v>Uruguay</v>
    <v>National Anthem of Uruguay</v>
    <v>1028</v>
    <v>Repúbilca Oriental del Uruguay</v>
    <v>1029</v>
    <v>1030</v>
    <v>1031</v>
    <v>1032</v>
    <v>1033</v>
    <v>1034</v>
    <v>1035</v>
    <v>1036</v>
    <v>1037</v>
    <v>1038</v>
    <v>1039</v>
    <v>1059</v>
    <v>1060</v>
    <v>1061</v>
    <v>1062</v>
    <v>1063</v>
    <v>Uruguay</v>
    <v>1064</v>
    <v>mdp/vdpid/246</v>
  </rv>
  <rv s="2">
    <v>15</v>
    <v>21</v>
    <v>126</v>
    <v>3</v>
    <v>0</v>
    <v>Image of Uruguay</v>
  </rv>
  <rv s="0">
    <v>536870912</v>
    <v>Ivory Coast</v>
    <v>9beaacca-5861-af12-0c41-daf208b175a9</v>
    <v>en-US</v>
    <v>Map</v>
  </rv>
  <rv s="1">
    <fb>0.64779874213836497</fb>
    <v>23</v>
  </rv>
  <rv s="1">
    <fb>322463</fb>
    <v>24</v>
  </rv>
  <rv s="1">
    <fb>27000</fb>
    <v>24</v>
  </rv>
  <rv s="1">
    <fb>35.74</fb>
    <v>25</v>
  </rv>
  <rv s="1">
    <fb>225</fb>
    <v>26</v>
  </rv>
  <rv s="0">
    <v>536870912</v>
    <v>Yamoussoukro</v>
    <v>02c823fb-5756-be31-294a-008c4953446f</v>
    <v>en-US</v>
    <v>Map</v>
  </rv>
  <rv s="1">
    <fb>9673.5460000000003</fb>
    <v>24</v>
  </rv>
  <rv s="1">
    <fb>111.606977877028</fb>
    <v>27</v>
  </rv>
  <rv s="1">
    <fb>-8.8393011042388302E-3</fb>
    <v>23</v>
  </rv>
  <rv s="1">
    <fb>274.73009049093503</fb>
    <v>24</v>
  </rv>
  <rv s="1">
    <fb>4.649</fb>
    <v>25</v>
  </rv>
  <rv s="1">
    <fb>0.32706288079795598</fb>
    <v>23</v>
  </rv>
  <rv s="1">
    <fb>26.492330023755201</fb>
    <v>28</v>
  </rv>
  <rv s="1">
    <fb>58792205642.153801</fb>
    <v>30</v>
  </rv>
  <rv s="1">
    <fb>0.99799749999999998</fb>
    <v>23</v>
  </rv>
  <rv s="1">
    <fb>9.3413699999999988E-2</fb>
    <v>23</v>
  </rv>
  <rv s="2">
    <v>16</v>
    <v>21</v>
    <v>132</v>
    <v>7</v>
    <v>0</v>
    <v>Image of Ivory Coast</v>
  </rv>
  <rv s="1">
    <fb>59.4</fb>
    <v>28</v>
  </rv>
  <rv s="0">
    <v>536870912</v>
    <v>Abidjan</v>
    <v>fa433474-0308-38c4-de72-2309d36ebf52</v>
    <v>en-US</v>
    <v>Map</v>
  </rv>
  <rv s="0">
    <v>805306368</v>
    <v>Alassane Ouattara (President)</v>
    <v>47641b2c-d4e8-8f4f-7217-795d56fa472c</v>
    <v>en-US</v>
    <v>Generic</v>
  </rv>
  <rv s="0">
    <v>805306368</v>
    <v>Tiémoko Meyliet Koné (Vice president)</v>
    <v>d8a7e235-663c-4062-8441-f4c3feed4c5b</v>
    <v>en-US</v>
    <v>Generic</v>
  </rv>
  <rv s="0">
    <v>805306368</v>
    <v>Robert Beugré Mambé (Prime minister)</v>
    <v>7d8593e7-020a-871c-03ee-d236bf8b3a8a</v>
    <v>en-US</v>
    <v>Generic</v>
  </rv>
  <rv s="3">
    <v>58</v>
  </rv>
  <rv s="4">
    <v>https://www.bing.com/search?q=ivory+coast&amp;form=skydnc</v>
    <v>Learn more on Bing</v>
  </rv>
  <rv s="1">
    <fb>57.421999999999997</fb>
    <v>28</v>
  </rv>
  <rv s="1">
    <fb>617</fb>
    <v>28</v>
  </rv>
  <rv s="1">
    <fb>0.36</fb>
    <v>29</v>
  </rv>
  <rv s="3">
    <v>59</v>
  </rv>
  <rv s="1">
    <fb>0.36018680349999999</fb>
    <v>23</v>
  </rv>
  <rv s="1">
    <fb>0.23139999999999999</fb>
    <v>25</v>
  </rv>
  <rv s="1">
    <fb>31855971</fb>
    <v>24</v>
  </rv>
  <rv s="1">
    <fb>0.21600000000000003</fb>
    <v>23</v>
  </rv>
  <rv s="1">
    <fb>0.31900000000000001</fb>
    <v>23</v>
  </rv>
  <rv s="1">
    <fb>0.47799999999999998</fb>
    <v>23</v>
  </rv>
  <rv s="1">
    <fb>5.7000000000000002E-2</fb>
    <v>23</v>
  </rv>
  <rv s="1">
    <fb>0.10199999999999999</fb>
    <v>23</v>
  </rv>
  <rv s="1">
    <fb>0.14599999999999999</fb>
    <v>23</v>
  </rv>
  <rv s="1">
    <fb>0.56952999114990199</fb>
    <v>23</v>
  </rv>
  <rv s="1">
    <fb>0.11827213979258699</fb>
    <v>23</v>
  </rv>
  <rv s="3">
    <v>60</v>
  </rv>
  <rv s="1">
    <fb>0.501</fb>
    <v>23</v>
  </rv>
  <rv s="1">
    <fb>3.3169999122619601E-2</fb>
    <v>31</v>
  </rv>
  <rv s="1">
    <fb>13176900</fb>
    <v>24</v>
  </rv>
  <rv s="14">
    <v>#VALUE!</v>
    <v>en-US</v>
    <v>9beaacca-5861-af12-0c41-daf208b175a9</v>
    <v>536870912</v>
    <v>1</v>
    <v>135</v>
    <v>136</v>
    <v>Ivory Coast</v>
    <v>19</v>
    <v>20</v>
    <v>Map</v>
    <v>21</v>
    <v>137</v>
    <v>CI</v>
    <v>1068</v>
    <v>1069</v>
    <v>1070</v>
    <v>1071</v>
    <v>1072</v>
    <v>1073</v>
    <v>1074</v>
    <v>1075</v>
    <v>1076</v>
    <v>XOF</v>
    <v>Ivory Coast, also known as Côte d'Ivoire and officially as the Republic of Côte d'Ivoire, is a country on the southern coast of West Africa. Its capital city of Yamoussoukro is located in the centre of the country, while its largest city and ...</v>
    <v>1077</v>
    <v>1078</v>
    <v>1079</v>
    <v>1080</v>
    <v>675</v>
    <v>1081</v>
    <v>1082</v>
    <v>1083</v>
    <v>1084</v>
    <v>1085</v>
    <v>1086</v>
    <v>1090</v>
    <v>1091</v>
    <v>1092</v>
    <v>1093</v>
    <v>1094</v>
    <v>Ivory Coast</v>
    <v>L'Abidjanaise</v>
    <v>1095</v>
    <v>Repubblica della Costa d'Avorio</v>
    <v>1096</v>
    <v>1097</v>
    <v>1098</v>
    <v>1099</v>
    <v>1100</v>
    <v>1101</v>
    <v>930</v>
    <v>1102</v>
    <v>1103</v>
    <v>1104</v>
    <v>1105</v>
    <v>1106</v>
    <v>1107</v>
    <v>1108</v>
    <v>1109</v>
    <v>Ivory Coast</v>
    <v>1110</v>
    <v>mdp/vdpid/119</v>
  </rv>
  <rv s="2">
    <v>16</v>
    <v>21</v>
    <v>132</v>
    <v>3</v>
    <v>0</v>
    <v>Image of Ivory Coast</v>
  </rv>
  <rv s="0">
    <v>536870912</v>
    <v>Italy</v>
    <v>09e8f885-427b-8850-947d-202e0287b9e8</v>
    <v>en-US</v>
    <v>Map</v>
  </rv>
  <rv s="1">
    <fb>0.432345141769226</fb>
    <v>23</v>
  </rv>
  <rv s="1">
    <fb>302068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17</v>
    <v>21</v>
    <v>139</v>
    <v>7</v>
    <v>0</v>
    <v>Image of Italy</v>
  </rv>
  <rv s="1">
    <fb>2.6</fb>
    <v>28</v>
  </rv>
  <rv s="0">
    <v>805306368</v>
    <v>Sergio Mattarella (President)</v>
    <v>7b09388e-8b92-1261-db16-7c6882735fe1</v>
    <v>en-US</v>
    <v>Generic</v>
  </rv>
  <rv s="0">
    <v>805306368</v>
    <v>Giorgia Meloni (Prime minister)</v>
    <v>5c9bb82e-e08f-f5eb-9f29-f20e75e8eb8f</v>
    <v>en-US</v>
    <v>Generic</v>
  </rv>
  <rv s="3">
    <v>61</v>
  </rv>
  <rv s="4">
    <v>https://www.bing.com/search?q=italy&amp;form=skydnc</v>
    <v>Learn more on Bing</v>
  </rv>
  <rv s="1">
    <fb>82.946341463414697</fb>
    <v>28</v>
  </rv>
  <rv s="1">
    <fb>522087790000</fb>
    <v>30</v>
  </rv>
  <rv s="1">
    <fb>2</fb>
    <v>28</v>
  </rv>
  <rv s="3">
    <v>62</v>
  </rv>
  <rv s="1">
    <fb>0.2283268819</fb>
    <v>23</v>
  </rv>
  <rv s="1">
    <fb>3.9773999999999998</fb>
    <v>25</v>
  </rv>
  <rv s="1">
    <fb>58856847</fb>
    <v>24</v>
  </rv>
  <rv s="1">
    <fb>0.26700000000000002</fb>
    <v>23</v>
  </rv>
  <rv s="1">
    <fb>1.9E-2</fb>
    <v>23</v>
  </rv>
  <rv s="1">
    <fb>0.06</fb>
    <v>23</v>
  </rv>
  <rv s="1">
    <fb>0.12</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63</v>
  </rv>
  <rv s="1">
    <fb>0.24250464933068097</fb>
    <v>23</v>
  </rv>
  <rv s="3">
    <v>64</v>
  </rv>
  <rv s="1">
    <fb>0.59099999999999997</fb>
    <v>23</v>
  </rv>
  <rv s="1">
    <fb>9.8870000839233405E-2</fb>
    <v>31</v>
  </rv>
  <rv s="1">
    <fb>42651966</fb>
    <v>24</v>
  </rv>
  <rv s="5">
    <v>#VALUE!</v>
    <v>en-US</v>
    <v>09e8f885-427b-8850-947d-202e0287b9e8</v>
    <v>536870912</v>
    <v>1</v>
    <v>142</v>
    <v>17</v>
    <v>Italy</v>
    <v>19</v>
    <v>20</v>
    <v>Map</v>
    <v>21</v>
    <v>143</v>
    <v>IT</v>
    <v>1114</v>
    <v>1115</v>
    <v>1116</v>
    <v>1117</v>
    <v>1118</v>
    <v>1119</v>
    <v>1120</v>
    <v>1121</v>
    <v>1122</v>
    <v>EUR</v>
    <v>Italy, officially the Italian Republic, is a country in Southern and Western Europe. It consists of a peninsula that extends into the Mediterranean Sea, with the Alps on its northern land border, as well as nearly 800 islands, notably Sicily and ...</v>
    <v>1123</v>
    <v>1124</v>
    <v>1125</v>
    <v>1126</v>
    <v>1127</v>
    <v>1128</v>
    <v>1129</v>
    <v>1130</v>
    <v>1131</v>
    <v>1132</v>
    <v>1119</v>
    <v>1135</v>
    <v>1136</v>
    <v>1137</v>
    <v>1138</v>
    <v>1139</v>
    <v>Italy</v>
    <v>Il Canto degli Italiani</v>
    <v>1140</v>
    <v>Repubblica Italiana</v>
    <v>1141</v>
    <v>1142</v>
    <v>1143</v>
    <v>107</v>
    <v>1144</v>
    <v>696</v>
    <v>1145</v>
    <v>1146</v>
    <v>1147</v>
    <v>865</v>
    <v>1148</v>
    <v>1169</v>
    <v>1170</v>
    <v>1171</v>
    <v>1172</v>
    <v>1173</v>
    <v>Italy</v>
    <v>1174</v>
    <v>mdp/vdpid/118</v>
  </rv>
  <rv s="2">
    <v>17</v>
    <v>21</v>
    <v>139</v>
    <v>3</v>
    <v>0</v>
    <v>Image of Italy</v>
  </rv>
  <rv s="0">
    <v>536870912</v>
    <v>Jamaica</v>
    <v>2562ea55-e766-cb17-7e1f-a957c9f8b966</v>
    <v>en-US</v>
    <v>Map</v>
  </rv>
  <rv s="1">
    <fb>0.40997229916897504</fb>
    <v>23</v>
  </rv>
  <rv s="1">
    <fb>10991.909540000001</fb>
    <v>24</v>
  </rv>
  <rv s="1">
    <fb>4000</fb>
    <v>24</v>
  </rv>
  <rv s="1">
    <fb>16.103000000000002</fb>
    <v>25</v>
  </rv>
  <rv s="1">
    <fb>1876</fb>
    <v>26</v>
  </rv>
  <rv s="0">
    <v>536870912</v>
    <v>Kingston, Jamaica</v>
    <v>385a0e1e-d470-c7c3-8231-361da8105710</v>
    <v>en-US</v>
    <v>Map</v>
  </rv>
  <rv s="1">
    <fb>8225.0810000000001</fb>
    <v>24</v>
  </rv>
  <rv s="1">
    <fb>162.47402640959601</fb>
    <v>27</v>
  </rv>
  <rv s="1">
    <fb>3.8918759235825502E-2</fb>
    <v>23</v>
  </rv>
  <rv s="1">
    <fb>1050.73290446087</fb>
    <v>24</v>
  </rv>
  <rv s="1">
    <fb>1.9790000000000001</fb>
    <v>25</v>
  </rv>
  <rv s="1">
    <fb>0.30915974822180897</fb>
    <v>23</v>
  </rv>
  <rv s="1">
    <fb>80.971344808322698</fb>
    <v>28</v>
  </rv>
  <rv s="1">
    <fb>1.1100000000000001</fb>
    <v>29</v>
  </rv>
  <rv s="1">
    <fb>16458071067.8176</fb>
    <v>30</v>
  </rv>
  <rv s="1">
    <fb>0.90995389999999998</fb>
    <v>23</v>
  </rv>
  <rv s="1">
    <fb>0.27130609999999999</fb>
    <v>23</v>
  </rv>
  <rv s="2">
    <v>18</v>
    <v>21</v>
    <v>145</v>
    <v>7</v>
    <v>0</v>
    <v>Image of Jamaica</v>
  </rv>
  <rv s="1">
    <fb>12.4</fb>
    <v>28</v>
  </rv>
  <rv s="0">
    <v>805306368</v>
    <v>Andrew Holness (Prime minister)</v>
    <v>fc7eab19-7d03-0e23-d4ca-3413831f019e</v>
    <v>en-US</v>
    <v>Generic</v>
  </rv>
  <rv s="3">
    <v>65</v>
  </rv>
  <rv s="4">
    <v>https://www.bing.com/search?q=jamaica&amp;form=skydnc</v>
    <v>Learn more on Bing</v>
  </rv>
  <rv s="1">
    <fb>74.367999999999995</fb>
    <v>28</v>
  </rv>
  <rv s="1">
    <fb>15767450000</fb>
    <v>30</v>
  </rv>
  <rv s="1">
    <fb>80</fb>
    <v>28</v>
  </rv>
  <rv s="1">
    <fb>1.33</fb>
    <v>29</v>
  </rv>
  <rv s="3">
    <v>66</v>
  </rv>
  <rv s="1">
    <fb>0.23704219810000002</fb>
    <v>23</v>
  </rv>
  <rv s="1">
    <fb>1.3061</fb>
    <v>25</v>
  </rv>
  <rv s="1">
    <fb>2827377</fb>
    <v>24</v>
  </rv>
  <rv s="1">
    <fb>0.20600000000000002</fb>
    <v>23</v>
  </rv>
  <rv s="1">
    <fb>0.35799999999999998</fb>
    <v>23</v>
  </rv>
  <rv s="1">
    <fb>0.51600000000000001</fb>
    <v>23</v>
  </rv>
  <rv s="1">
    <fb>5.2999999999999999E-2</fb>
    <v>23</v>
  </rv>
  <rv s="1">
    <fb>0.13200000000000001</fb>
    <v>23</v>
  </rv>
  <rv s="1">
    <fb>0.66028999328613291</fb>
    <v>23</v>
  </rv>
  <rv s="0">
    <v>536870912</v>
    <v>Cornwall County, Jamaica</v>
    <v>845f0c8b-1a1e-7e8d-b0d5-7f725b594865</v>
    <v>en-US</v>
    <v>Map</v>
  </rv>
  <rv s="0">
    <v>536870912</v>
    <v>Middlesex County, Jamaica</v>
    <v>05e19e2c-d20d-e0d6-a906-7417f9138fbe</v>
    <v>en-US</v>
    <v>Map</v>
  </rv>
  <rv s="3">
    <v>67</v>
  </rv>
  <rv s="1">
    <fb>0.26809843578632003</fb>
    <v>23</v>
  </rv>
  <rv s="1">
    <fb>0.35100000000000003</fb>
    <v>23</v>
  </rv>
  <rv s="1">
    <fb>8.0019998550415E-2</fb>
    <v>31</v>
  </rv>
  <rv s="1">
    <fb>1650594</fb>
    <v>24</v>
  </rv>
  <rv s="6">
    <v>#VALUE!</v>
    <v>en-US</v>
    <v>2562ea55-e766-cb17-7e1f-a957c9f8b966</v>
    <v>536870912</v>
    <v>1</v>
    <v>148</v>
    <v>37</v>
    <v>Jamaica</v>
    <v>19</v>
    <v>20</v>
    <v>Map</v>
    <v>21</v>
    <v>149</v>
    <v>JM</v>
    <v>1178</v>
    <v>1179</v>
    <v>1180</v>
    <v>1181</v>
    <v>1182</v>
    <v>1183</v>
    <v>1184</v>
    <v>1185</v>
    <v>1186</v>
    <v>JMD</v>
    <v>Jamaica is an island country in the Caribbean Sea and the West Indies. At 10,990 square kilometres, it is the third-largest island—after Cuba and Hispaniola—of the Greater Antilles and the Caribbean. Jamaica lies about 145 km south of Cuba, 191 ...</v>
    <v>1187</v>
    <v>1188</v>
    <v>1189</v>
    <v>1190</v>
    <v>1191</v>
    <v>1192</v>
    <v>1193</v>
    <v>1194</v>
    <v>1195</v>
    <v>1196</v>
    <v>1183</v>
    <v>1198</v>
    <v>1199</v>
    <v>1200</v>
    <v>1201</v>
    <v>1202</v>
    <v>1203</v>
    <v>Jamaica</v>
    <v>Jamaica, Land We Love</v>
    <v>1204</v>
    <v>Jamaica</v>
    <v>1205</v>
    <v>1206</v>
    <v>1207</v>
    <v>1208</v>
    <v>1209</v>
    <v>1210</v>
    <v>930</v>
    <v>1211</v>
    <v>278</v>
    <v>1212</v>
    <v>1213</v>
    <v>1216</v>
    <v>1217</v>
    <v>189</v>
    <v>1218</v>
    <v>1219</v>
    <v>Jamaica</v>
    <v>1220</v>
    <v>mdp/vdpid/124</v>
  </rv>
  <rv s="2">
    <v>18</v>
    <v>21</v>
    <v>145</v>
    <v>3</v>
    <v>0</v>
    <v>Image of Jamaica</v>
  </rv>
  <rv s="0">
    <v>536870912</v>
    <v>Uzbekistan</v>
    <v>fbaefa3b-5942-368c-9138-b177b90efb38</v>
    <v>en-US</v>
    <v>Map</v>
  </rv>
  <rv s="1">
    <fb>0.62929007992477703</fb>
    <v>23</v>
  </rv>
  <rv s="1">
    <fb>448978</fb>
    <v>24</v>
  </rv>
  <rv s="1">
    <fb>68000</fb>
    <v>24</v>
  </rv>
  <rv s="1">
    <fb>23.3</fb>
    <v>25</v>
  </rv>
  <rv s="1">
    <fb>998</fb>
    <v>26</v>
  </rv>
  <rv s="0">
    <v>536870912</v>
    <v>Tashkent</v>
    <v>9a082910-0210-882c-d498-45343d7316df</v>
    <v>en-US</v>
    <v>Map</v>
  </rv>
  <rv s="1">
    <fb>91810.679000000004</fb>
    <v>24</v>
  </rv>
  <rv s="1">
    <fb>1645.44162925056</fb>
    <v>24</v>
  </rv>
  <rv s="1">
    <fb>2.419</fb>
    <v>25</v>
  </rv>
  <rv s="1">
    <fb>7.5429713899785603E-2</fb>
    <v>23</v>
  </rv>
  <rv s="1">
    <fb>97.738499471809007</fb>
    <v>28</v>
  </rv>
  <rv s="1">
    <fb>1.03</fb>
    <v>29</v>
  </rv>
  <rv s="1">
    <fb>57921286440.349503</fb>
    <v>30</v>
  </rv>
  <rv s="1">
    <fb>1.0423298000000001</fb>
    <v>23</v>
  </rv>
  <rv s="1">
    <fb>0.10076349999999999</fb>
    <v>23</v>
  </rv>
  <rv s="2">
    <v>19</v>
    <v>21</v>
    <v>151</v>
    <v>7</v>
    <v>0</v>
    <v>Image of Uzbekistan</v>
  </rv>
  <rv s="1">
    <fb>19.100000000000001</fb>
    <v>28</v>
  </rv>
  <rv s="0">
    <v>805306368</v>
    <v>Shavkat Mirziyoyev (President)</v>
    <v>c5895c46-c1eb-feb7-57fb-304e2233b324</v>
    <v>en-US</v>
    <v>Generic</v>
  </rv>
  <rv s="0">
    <v>805306368</v>
    <v>Abdulla Aripov (Prime minister)</v>
    <v>7f535ca8-4a0d-d432-d298-301940dec034</v>
    <v>en-US</v>
    <v>Generic</v>
  </rv>
  <rv s="3">
    <v>68</v>
  </rv>
  <rv s="4">
    <v>https://www.bing.com/search?q=uzbekistan&amp;form=skydnc</v>
    <v>Learn more on Bing</v>
  </rv>
  <rv s="1">
    <fb>71.572999999999993</fb>
    <v>28</v>
  </rv>
  <rv s="1">
    <fb>29</fb>
    <v>28</v>
  </rv>
  <rv s="3">
    <v>69</v>
  </rv>
  <rv s="1">
    <fb>0.42732442009999999</fb>
    <v>23</v>
  </rv>
  <rv s="1">
    <fb>2.3685</fb>
    <v>25</v>
  </rv>
  <rv s="1">
    <fb>35648100</fb>
    <v>24</v>
  </rv>
  <rv s="1">
    <fb>0.214</fb>
    <v>23</v>
  </rv>
  <rv s="1">
    <fb>0.28300000000000003</fb>
    <v>23</v>
  </rv>
  <rv s="1">
    <fb>0.434</fb>
    <v>23</v>
  </rv>
  <rv s="1">
    <fb>2.8999999999999998E-2</fb>
    <v>23</v>
  </rv>
  <rv s="1">
    <fb>0.158</fb>
    <v>23</v>
  </rv>
  <rv s="1">
    <fb>0.65059997558593807</fb>
    <v>23</v>
  </rv>
  <rv s="0">
    <v>536870912</v>
    <v>Karakalpakstan</v>
    <v>74032845-b5fe-a4aa-b67a-8c6da7831a09</v>
    <v>en-US</v>
    <v>Map</v>
  </rv>
  <rv s="0">
    <v>536870912</v>
    <v>Andijan Region</v>
    <v>0662f365-28c1-fd4d-9a45-18c6d874b47e</v>
    <v>en-US</v>
    <v>Map</v>
  </rv>
  <rv s="0">
    <v>536870912</v>
    <v>Bukhara Region</v>
    <v>60d752ad-a68b-3f13-2d20-39bc59fb4576</v>
    <v>en-US</v>
    <v>Map</v>
  </rv>
  <rv s="0">
    <v>536870912</v>
    <v>Fergana Region</v>
    <v>0de78b83-1d6e-1a10-7ac4-27ab5d66aeab</v>
    <v>en-US</v>
    <v>Map</v>
  </rv>
  <rv s="0">
    <v>536870912</v>
    <v>Jizzakh Region</v>
    <v>e37d88f2-caf4-58e7-6a43-846282d60e03</v>
    <v>en-US</v>
    <v>Map</v>
  </rv>
  <rv s="0">
    <v>536870912</v>
    <v>Namangan Region</v>
    <v>1b1e8b72-a5b9-d4f2-81a6-958b035e5f9a</v>
    <v>en-US</v>
    <v>Map</v>
  </rv>
  <rv s="0">
    <v>536870912</v>
    <v>Navoiy Region</v>
    <v>025059a8-cfea-d967-a8a8-5adf17313efe</v>
    <v>en-US</v>
    <v>Map</v>
  </rv>
  <rv s="0">
    <v>536870912</v>
    <v>Qashqadaryo Region</v>
    <v>cee568ae-ba49-3c1d-e6c6-fcbc96807e20</v>
    <v>en-US</v>
    <v>Map</v>
  </rv>
  <rv s="0">
    <v>536870912</v>
    <v>Samarkand Region</v>
    <v>55d0a29b-c35d-5a5b-dc3c-6e8c07ed6993</v>
    <v>en-US</v>
    <v>Map</v>
  </rv>
  <rv s="0">
    <v>536870912</v>
    <v>Sirdaryo Region</v>
    <v>da57c295-298d-d098-7553-ef3bd9c4d156</v>
    <v>en-US</v>
    <v>Map</v>
  </rv>
  <rv s="0">
    <v>536870912</v>
    <v>Surxondaryo Region</v>
    <v>de4d3b5b-9633-41e7-8b54-e0053a803788</v>
    <v>en-US</v>
    <v>Map</v>
  </rv>
  <rv s="0">
    <v>536870912</v>
    <v>Tashkent Region</v>
    <v>6019235b-571e-e048-fc80-195cec8e6cc7</v>
    <v>en-US</v>
    <v>Map</v>
  </rv>
  <rv s="0">
    <v>536870912</v>
    <v>Khorazm Region</v>
    <v>1a369522-72bb-2b2b-412f-fccf0c7578c3</v>
    <v>en-US</v>
    <v>Map</v>
  </rv>
  <rv s="3">
    <v>70</v>
  </rv>
  <rv s="1">
    <fb>0.14755695573088201</fb>
    <v>23</v>
  </rv>
  <rv s="3">
    <v>71</v>
  </rv>
  <rv s="1">
    <fb>0.316</fb>
    <v>23</v>
  </rv>
  <rv s="1">
    <fb>5.9169998168945304E-2</fb>
    <v>31</v>
  </rv>
  <rv s="1">
    <fb>16935729</fb>
    <v>24</v>
  </rv>
  <rv s="15">
    <v>#VALUE!</v>
    <v>en-US</v>
    <v>fbaefa3b-5942-368c-9138-b177b90efb38</v>
    <v>536870912</v>
    <v>1</v>
    <v>154</v>
    <v>155</v>
    <v>Uzbekistan</v>
    <v>19</v>
    <v>20</v>
    <v>Map</v>
    <v>21</v>
    <v>156</v>
    <v>UZ</v>
    <v>1224</v>
    <v>1225</v>
    <v>1226</v>
    <v>1227</v>
    <v>1228</v>
    <v>1229</v>
    <v>1230</v>
    <v>UZS</v>
    <v>Uzbekistan, officially the Republic of Uzbekistan, is a doubly landlocked country located in Central Asia. It is surrounded by five countries: Kazakhstan to the north, Kyrgyzstan to the northeast, Tajikistan to the southeast, Afghanistan to the ...</v>
    <v>1231</v>
    <v>1232</v>
    <v>1233</v>
    <v>1234</v>
    <v>1235</v>
    <v>1236</v>
    <v>1237</v>
    <v>1238</v>
    <v>1239</v>
    <v>1240</v>
    <v>1229</v>
    <v>1243</v>
    <v>1244</v>
    <v>1245</v>
    <v>1246</v>
    <v>965</v>
    <v>Uzbekistan</v>
    <v>State Anthem of Uzbekistan</v>
    <v>1247</v>
    <v>O‘zbekiston Respublikasi</v>
    <v>1248</v>
    <v>1249</v>
    <v>1250</v>
    <v>1251</v>
    <v>1252</v>
    <v>1253</v>
    <v>1254</v>
    <v>698</v>
    <v>1147</v>
    <v>1255</v>
    <v>1256</v>
    <v>1270</v>
    <v>1271</v>
    <v>1272</v>
    <v>1273</v>
    <v>1274</v>
    <v>Uzbekistan</v>
    <v>1275</v>
    <v>mdp/vdpid/247</v>
  </rv>
  <rv s="2">
    <v>19</v>
    <v>21</v>
    <v>151</v>
    <v>3</v>
    <v>0</v>
    <v>Image of Uzbekistan</v>
  </rv>
  <rv s="0">
    <v>536870912</v>
    <v>Croatia</v>
    <v>98d53c1a-2e70-ba44-c85e-1e3d4c505723</v>
    <v>en-US</v>
    <v>Map</v>
  </rv>
  <rv s="1">
    <fb>0.27591136526090099</fb>
    <v>23</v>
  </rv>
  <rv s="1">
    <fb>56594</fb>
    <v>24</v>
  </rv>
  <rv s="1">
    <fb>18000</fb>
    <v>24</v>
  </rv>
  <rv s="1">
    <fb>9</fb>
    <v>25</v>
  </rv>
  <rv s="1">
    <fb>385</fb>
    <v>26</v>
  </rv>
  <rv s="0">
    <v>536870912</v>
    <v>Zagreb</v>
    <v>f11a69f0-4ff4-d971-a3ab-ae1c1274eccc</v>
    <v>en-US</v>
    <v>Map</v>
  </rv>
  <rv s="1">
    <fb>17487.922999999999</fb>
    <v>24</v>
  </rv>
  <rv s="1">
    <fb>109.815676449535</fb>
    <v>27</v>
  </rv>
  <rv s="1">
    <fb>7.7182034649808298E-3</fb>
    <v>23</v>
  </rv>
  <rv s="1">
    <fb>3714.3829884420702</fb>
    <v>24</v>
  </rv>
  <rv s="1">
    <fb>1.47</fb>
    <v>25</v>
  </rv>
  <rv s="1">
    <fb>0.343531098001083</fb>
    <v>23</v>
  </rv>
  <rv s="1">
    <fb>70.703662342128197</fb>
    <v>28</v>
  </rv>
  <rv s="1">
    <fb>1.26</fb>
    <v>29</v>
  </rv>
  <rv s="1">
    <fb>60415553038.882599</fb>
    <v>30</v>
  </rv>
  <rv s="1">
    <fb>0.96471030000000002</fb>
    <v>23</v>
  </rv>
  <rv s="1">
    <fb>0.67865560000000003</fb>
    <v>23</v>
  </rv>
  <rv s="2">
    <v>20</v>
    <v>21</v>
    <v>158</v>
    <v>7</v>
    <v>0</v>
    <v>Image of Croatia</v>
  </rv>
  <rv s="0">
    <v>805306368</v>
    <v>Zoran Milanović (President)</v>
    <v>0772d8e3-22ab-2c3b-e566-9239bc8d53e6</v>
    <v>en-US</v>
    <v>Generic</v>
  </rv>
  <rv s="0">
    <v>805306368</v>
    <v>Andrej Plenković (Prime minister)</v>
    <v>8636709a-30b6-46b4-8744-abc8c9fe5ff9</v>
    <v>en-US</v>
    <v>Generic</v>
  </rv>
  <rv s="3">
    <v>72</v>
  </rv>
  <rv s="4">
    <v>https://www.bing.com/search?q=croatia&amp;form=skydnc</v>
    <v>Learn more on Bing</v>
  </rv>
  <rv s="1">
    <fb>78.070731707317094</fb>
    <v>28</v>
  </rv>
  <rv s="1">
    <fb>22458260000</fb>
    <v>30</v>
  </rv>
  <rv s="1">
    <fb>2.92</fb>
    <v>29</v>
  </rv>
  <rv s="3">
    <v>73</v>
  </rv>
  <rv s="1">
    <fb>0.15156174140000001</fb>
    <v>23</v>
  </rv>
  <rv s="1">
    <fb>2.9962</fb>
    <v>25</v>
  </rv>
  <rv s="1">
    <fb>3854000</fb>
    <v>24</v>
  </rv>
  <rv s="1">
    <fb>0.23300000000000001</fb>
    <v>23</v>
  </rv>
  <rv s="1">
    <fb>0.22899999999999998</fb>
    <v>23</v>
  </rv>
  <rv s="1">
    <fb>0.379</fb>
    <v>23</v>
  </rv>
  <rv s="1">
    <fb>2.7000000000000003E-2</fb>
    <v>23</v>
  </rv>
  <rv s="1">
    <fb>0.13300000000000001</fb>
    <v>23</v>
  </rv>
  <rv s="1">
    <fb>0.18</fb>
    <v>23</v>
  </rv>
  <rv s="1">
    <fb>0.51181999206542994</fb>
    <v>23</v>
  </rv>
  <rv s="0">
    <v>536870912</v>
    <v>Međimurje County</v>
    <v>dc345ff5-f374-076d-1d0f-e1a24cfbb252</v>
    <v>en-US</v>
    <v>Map</v>
  </rv>
  <rv s="0">
    <v>536870912</v>
    <v>Dubrovnik-Neretva County</v>
    <v>aeed8c4c-de39-d37d-b0d9-e37523f91c47</v>
    <v>en-US</v>
    <v>Map</v>
  </rv>
  <rv s="0">
    <v>536870912</v>
    <v>Istria County</v>
    <v>0ab1de7c-4cb1-cbce-c3eb-ca81244e251f</v>
    <v>en-US</v>
    <v>Map</v>
  </rv>
  <rv s="0">
    <v>536870912</v>
    <v>Split-Dalmatia County</v>
    <v>a5c9fc4a-ec53-dc2d-a2db-50aa40fdd54c</v>
    <v>en-US</v>
    <v>Map</v>
  </rv>
  <rv s="0">
    <v>536870912</v>
    <v>Vukovar-Srijem County</v>
    <v>d2ffeec2-0360-aaa1-c264-281c332c65d7</v>
    <v>en-US</v>
    <v>Map</v>
  </rv>
  <rv s="0">
    <v>536870912</v>
    <v>Šibenik-Knin County</v>
    <v>9d9e65ec-ec8b-f187-0936-6d654c8cee4e</v>
    <v>en-US</v>
    <v>Map</v>
  </rv>
  <rv s="0">
    <v>536870912</v>
    <v>Osijek-Baranja County</v>
    <v>14807793-d9c8-613d-6c09-c3a09da2ecd1</v>
    <v>en-US</v>
    <v>Map</v>
  </rv>
  <rv s="0">
    <v>536870912</v>
    <v>Zadar County</v>
    <v>e66a5144-723b-6aba-3445-b2648a0f3632</v>
    <v>en-US</v>
    <v>Map</v>
  </rv>
  <rv s="0">
    <v>536870912</v>
    <v>Brod-Posavina County</v>
    <v>77ccafb9-c361-4f38-878e-cdb50de4ac20</v>
    <v>en-US</v>
    <v>Map</v>
  </rv>
  <rv s="0">
    <v>536870912</v>
    <v>Požega-Slavonia County</v>
    <v>1b9351b8-c66c-5f85-1249-197ef8f9ace2</v>
    <v>en-US</v>
    <v>Map</v>
  </rv>
  <rv s="0">
    <v>536870912</v>
    <v>Virovitica-Podravina County</v>
    <v>b2e508fb-3c10-113a-db7c-34fd3ec7d5a8</v>
    <v>en-US</v>
    <v>Map</v>
  </rv>
  <rv s="0">
    <v>536870912</v>
    <v>Lika-Senj County</v>
    <v>e1daeacd-77f1-8d6c-3d6d-b18f1cc43793</v>
    <v>en-US</v>
    <v>Map</v>
  </rv>
  <rv s="0">
    <v>536870912</v>
    <v>Primorje-Gorski Kotar County</v>
    <v>c270a103-7c7f-57ff-7129-a8b9864b8e93</v>
    <v>en-US</v>
    <v>Map</v>
  </rv>
  <rv s="0">
    <v>536870912</v>
    <v>Bjelovar-Bilogora County</v>
    <v>9e3fda25-b013-9d58-a13e-b26cc2c11736</v>
    <v>en-US</v>
    <v>Map</v>
  </rv>
  <rv s="0">
    <v>536870912</v>
    <v>Koprivnica-Križevci County</v>
    <v>24629268-134b-6a42-31c3-7b995167933b</v>
    <v>en-US</v>
    <v>Map</v>
  </rv>
  <rv s="0">
    <v>536870912</v>
    <v>Varaždin County</v>
    <v>e8b53325-1309-05f5-baf1-5d4648cd44d3</v>
    <v>en-US</v>
    <v>Map</v>
  </rv>
  <rv s="0">
    <v>536870912</v>
    <v>Karlovac County</v>
    <v>7e360e54-9dea-ca70-625f-dd73fa48da82</v>
    <v>en-US</v>
    <v>Map</v>
  </rv>
  <rv s="0">
    <v>536870912</v>
    <v>Sisak-Moslavina County</v>
    <v>8dbfcf55-9464-3038-5db3-06d00c62ed50</v>
    <v>en-US</v>
    <v>Map</v>
  </rv>
  <rv s="0">
    <v>536870912</v>
    <v>Krapina-Zagorje County</v>
    <v>09dfd6fa-edab-6236-5d76-c848770f2467</v>
    <v>en-US</v>
    <v>Map</v>
  </rv>
  <rv s="0">
    <v>536870912</v>
    <v>Zagreb County</v>
    <v>f17cd992-a68c-3c4e-3365-1058251b4842</v>
    <v>en-US</v>
    <v>Map</v>
  </rv>
  <rv s="3">
    <v>74</v>
  </rv>
  <rv s="1">
    <fb>0.21963282023161401</fb>
    <v>23</v>
  </rv>
  <rv s="3">
    <v>75</v>
  </rv>
  <rv s="1">
    <fb>0.20499999999999999</fb>
    <v>23</v>
  </rv>
  <rv s="1">
    <fb>6.9349999427795406E-2</fb>
    <v>31</v>
  </rv>
  <rv s="1">
    <fb>2328318</fb>
    <v>24</v>
  </rv>
  <rv s="6">
    <v>#VALUE!</v>
    <v>en-US</v>
    <v>98d53c1a-2e70-ba44-c85e-1e3d4c505723</v>
    <v>536870912</v>
    <v>1</v>
    <v>161</v>
    <v>37</v>
    <v>Croatia</v>
    <v>19</v>
    <v>20</v>
    <v>Map</v>
    <v>21</v>
    <v>162</v>
    <v>HR</v>
    <v>1279</v>
    <v>1280</v>
    <v>1281</v>
    <v>1282</v>
    <v>1283</v>
    <v>1284</v>
    <v>1285</v>
    <v>1286</v>
    <v>1287</v>
    <v>EUR</v>
    <v>Croatia, officially the Republic of Croatia, is a country in Central and Southeast Europe, on the coast of the Adriatic Sea. It borders Slovenia to the northwest, Hungary to the northeast, Serbia to the east, Bosnia and Herzegovina and ...</v>
    <v>1288</v>
    <v>1289</v>
    <v>1290</v>
    <v>1291</v>
    <v>1292</v>
    <v>1293</v>
    <v>1294</v>
    <v>1295</v>
    <v>1296</v>
    <v>750</v>
    <v>1284</v>
    <v>1299</v>
    <v>1300</v>
    <v>1301</v>
    <v>1302</v>
    <v>856</v>
    <v>1303</v>
    <v>Croatia</v>
    <v>Lijepa naša domovino</v>
    <v>1304</v>
    <v>Republica Croația</v>
    <v>1305</v>
    <v>1306</v>
    <v>1307</v>
    <v>1308</v>
    <v>1309</v>
    <v>1310</v>
    <v>1311</v>
    <v>698</v>
    <v>1312</v>
    <v>1313</v>
    <v>1314</v>
    <v>1335</v>
    <v>1336</v>
    <v>1337</v>
    <v>1338</v>
    <v>1339</v>
    <v>Croatia</v>
    <v>1340</v>
    <v>mdp/vdpid/108</v>
  </rv>
  <rv s="2">
    <v>20</v>
    <v>21</v>
    <v>158</v>
    <v>3</v>
    <v>0</v>
    <v>Image of Croatia</v>
  </rv>
  <rv s="0">
    <v>536870912</v>
    <v>Cuba</v>
    <v>bd1112ec-a711-52b0-92b0-a57a633f397e</v>
    <v>en-US</v>
    <v>Map</v>
  </rv>
  <rv s="1">
    <fb>0.59860605607695594</fb>
    <v>23</v>
  </rv>
  <rv s="1">
    <fb>109884</fb>
    <v>24</v>
  </rv>
  <rv s="1">
    <fb>76000</fb>
    <v>24</v>
  </rv>
  <rv s="1">
    <fb>10.166</fb>
    <v>25</v>
  </rv>
  <rv s="1">
    <fb>53</fb>
    <v>26</v>
  </rv>
  <rv s="0">
    <v>536870912</v>
    <v>Havana</v>
    <v>3ca5066a-a331-c1b3-135f-1fde36da55db</v>
    <v>en-US</v>
    <v>Map</v>
  </rv>
  <rv s="1">
    <fb>28283.571</fb>
    <v>24</v>
  </rv>
  <rv s="1">
    <fb>1450.88371686603</fb>
    <v>24</v>
  </rv>
  <rv s="1">
    <fb>1.6180000000000001</fb>
    <v>25</v>
  </rv>
  <rv s="1">
    <fb>0.312786012080009</fb>
    <v>23</v>
  </rv>
  <rv s="1">
    <fb>85.596414559965098</fb>
    <v>28</v>
  </rv>
  <rv s="1">
    <fb>1.4</fb>
    <v>29</v>
  </rv>
  <rv s="1">
    <fb>100023000000</fb>
    <v>30</v>
  </rv>
  <rv s="1">
    <fb>1.0190455</fb>
    <v>23</v>
  </rv>
  <rv s="1">
    <fb>0.4137902</fb>
    <v>23</v>
  </rv>
  <rv s="2">
    <v>21</v>
    <v>21</v>
    <v>164</v>
    <v>7</v>
    <v>0</v>
    <v>Image of Cuba</v>
  </rv>
  <rv s="1">
    <fb>3.7</fb>
    <v>28</v>
  </rv>
  <rv s="0">
    <v>805306368</v>
    <v>Miguel Díaz-Canel (President)</v>
    <v>a343998d-02b9-457f-90b1-ff09f5f0f3c4</v>
    <v>en-US</v>
    <v>Generic</v>
  </rv>
  <rv s="0">
    <v>805306368</v>
    <v>Miguel Díaz-Canel (Secretary)</v>
    <v>a343998d-02b9-457f-90b1-ff09f5f0f3c4</v>
    <v>en-US</v>
    <v>Generic</v>
  </rv>
  <rv s="0">
    <v>805306368</v>
    <v>Salvador Valdés Mesa (Vice president)</v>
    <v>a4152e40-efbd-9843-7910-13c12aa93dda</v>
    <v>en-US</v>
    <v>Generic</v>
  </rv>
  <rv s="0">
    <v>805306368</v>
    <v>Manuel Marrero Cruz (Prime minister)</v>
    <v>0939753c-2d31-2645-67d6-55d4e2007c5b</v>
    <v>en-US</v>
    <v>Generic</v>
  </rv>
  <rv s="3">
    <v>76</v>
  </rv>
  <rv s="4">
    <v>https://www.bing.com/search?q=cuba&amp;form=skydnc</v>
    <v>Learn more on Bing</v>
  </rv>
  <rv s="1">
    <fb>78.725999999999999</fb>
    <v>28</v>
  </rv>
  <rv s="1">
    <fb>36</fb>
    <v>28</v>
  </rv>
  <rv s="1">
    <fb>0.05</fb>
    <v>29</v>
  </rv>
  <rv s="3">
    <v>77</v>
  </rv>
  <rv s="1">
    <fb>8.4217999999999993</fb>
    <v>25</v>
  </rv>
  <rv s="1">
    <fb>11212191</fb>
    <v>24</v>
  </rv>
  <rv s="1">
    <fb>0.53581001281738305</fb>
    <v>23</v>
  </rv>
  <rv s="0">
    <v>536870912</v>
    <v>Pinar del Río Province</v>
    <v>af0e83e0-10a8-ea8e-53c1-ef92e1484db8</v>
    <v>en-US</v>
    <v>Map</v>
  </rv>
  <rv s="0">
    <v>536870912</v>
    <v>Artemisa Province</v>
    <v>0514e6c9-4833-ad2d-150a-9ff4fe53cebd</v>
    <v>en-US</v>
    <v>Map</v>
  </rv>
  <rv s="0">
    <v>536870912</v>
    <v>La Habana Province</v>
    <v>cc68ebb5-a2d4-9bc7-8bca-19b6dd179636</v>
    <v>en-US</v>
    <v>Map</v>
  </rv>
  <rv s="0">
    <v>536870912</v>
    <v>Mayabeque Province</v>
    <v>9d3eeaae-7dd4-6be6-d0e0-d4db591ff4a3</v>
    <v>en-US</v>
    <v>Map</v>
  </rv>
  <rv s="0">
    <v>536870912</v>
    <v>Matanzas Province</v>
    <v>33867909-315d-1b7e-8d07-4935a2f6a8a1</v>
    <v>en-US</v>
    <v>Map</v>
  </rv>
  <rv s="0">
    <v>536870912</v>
    <v>Cienfuegos Province</v>
    <v>8e6c8002-cb2c-f188-b2d7-047cf5ba3bea</v>
    <v>en-US</v>
    <v>Map</v>
  </rv>
  <rv s="0">
    <v>536870912</v>
    <v>Villa Clara Province</v>
    <v>1d74d5aa-2c0a-e595-af41-3f558f2a760a</v>
    <v>en-US</v>
    <v>Map</v>
  </rv>
  <rv s="0">
    <v>536870912</v>
    <v>Sancti Spíritus Province</v>
    <v>97a06c64-c0db-5024-ee8c-93ce5c92fb52</v>
    <v>en-US</v>
    <v>Map</v>
  </rv>
  <rv s="0">
    <v>536870912</v>
    <v>Ciego de Ávila Province</v>
    <v>1a8e0d6e-3ac8-220e-ae2d-9345753a2798</v>
    <v>en-US</v>
    <v>Map</v>
  </rv>
  <rv s="0">
    <v>536870912</v>
    <v>Camagüey Province</v>
    <v>1f7ae4ce-edfa-101b-682a-4d849d8cf81f</v>
    <v>en-US</v>
    <v>Map</v>
  </rv>
  <rv s="0">
    <v>536870912</v>
    <v>Las Tunas Province</v>
    <v>c9cbe9a0-18c0-dd0e-4677-354434019359</v>
    <v>en-US</v>
    <v>Map</v>
  </rv>
  <rv s="0">
    <v>536870912</v>
    <v>Granma Province</v>
    <v>8c4d07b3-988f-9273-f503-c0c45167e863</v>
    <v>en-US</v>
    <v>Map</v>
  </rv>
  <rv s="0">
    <v>536870912</v>
    <v>Holguín Province</v>
    <v>deafc364-e3d4-c849-b824-f43865085e12</v>
    <v>en-US</v>
    <v>Map</v>
  </rv>
  <rv s="0">
    <v>536870912</v>
    <v>Santiago de Cuba Province</v>
    <v>d86f112e-91da-b147-09c8-3e2d54e1b175</v>
    <v>en-US</v>
    <v>Map</v>
  </rv>
  <rv s="0">
    <v>536870912</v>
    <v>Guantánamo Province</v>
    <v>8985674b-e8e0-c12b-34fb-50cf8dea8707</v>
    <v>en-US</v>
    <v>Map</v>
  </rv>
  <rv s="0">
    <v>536870912</v>
    <v>Isla de la Juventud</v>
    <v>ef55265f-bebe-1314-db71-0872c9069410</v>
    <v>en-US</v>
    <v>Map</v>
  </rv>
  <rv s="3">
    <v>78</v>
  </rv>
  <rv s="1">
    <fb>1.63800001144409E-2</fb>
    <v>31</v>
  </rv>
  <rv s="1">
    <fb>8739135</fb>
    <v>24</v>
  </rv>
  <rv s="16">
    <v>#VALUE!</v>
    <v>en-US</v>
    <v>bd1112ec-a711-52b0-92b0-a57a633f397e</v>
    <v>536870912</v>
    <v>1</v>
    <v>167</v>
    <v>168</v>
    <v>Cuba</v>
    <v>19</v>
    <v>20</v>
    <v>Map</v>
    <v>21</v>
    <v>169</v>
    <v>CU</v>
    <v>1344</v>
    <v>1345</v>
    <v>1346</v>
    <v>1347</v>
    <v>1348</v>
    <v>1349</v>
    <v>1350</v>
    <v>CUP</v>
    <v>Cuba, officially the Republic of Cuba, is an island country, comprising the island of Cuba, Isla de la Juventud, and 4,195 islands, islets and cays surrounding the main island. It is located where the northern Caribbean Sea, Gulf of Mexico, and ...</v>
    <v>1351</v>
    <v>1352</v>
    <v>1353</v>
    <v>1354</v>
    <v>1355</v>
    <v>1356</v>
    <v>1357</v>
    <v>1358</v>
    <v>1359</v>
    <v>1360</v>
    <v>1349</v>
    <v>1365</v>
    <v>1366</v>
    <v>1367</v>
    <v>1368</v>
    <v>1369</v>
    <v>Cuba</v>
    <v>La Bayamesa</v>
    <v>1370</v>
    <v>República de Cuba</v>
    <v>1371</v>
    <v>1372</v>
    <v>1373</v>
    <v>1390</v>
    <v>189</v>
    <v>1391</v>
    <v>Cuba</v>
    <v>1392</v>
    <v>mdp/vdpid/56</v>
  </rv>
  <rv s="2">
    <v>21</v>
    <v>21</v>
    <v>164</v>
    <v>3</v>
    <v>0</v>
    <v>Image of Cuba</v>
  </rv>
  <rv s="0">
    <v>536870912</v>
    <v>Senegal</v>
    <v>61b4b41a-e86a-1c43-604a-57097e879fb9</v>
    <v>en-US</v>
    <v>Map</v>
  </rv>
  <rv s="1">
    <fb>0.46060354230509504</fb>
    <v>23</v>
  </rv>
  <rv s="1">
    <fb>196722</fb>
    <v>24</v>
  </rv>
  <rv s="1">
    <fb>19000</fb>
    <v>24</v>
  </rv>
  <rv s="1">
    <fb>34.523000000000003</fb>
    <v>25</v>
  </rv>
  <rv s="1">
    <fb>221</fb>
    <v>26</v>
  </rv>
  <rv s="0">
    <v>536870912</v>
    <v>Dakar</v>
    <v>231d192c-d87d-99c6-2482-7dd7e8becc3e</v>
    <v>en-US</v>
    <v>Map</v>
  </rv>
  <rv s="1">
    <fb>10901.991</fb>
    <v>24</v>
  </rv>
  <rv s="1">
    <fb>109.251270172291</fb>
    <v>27</v>
  </rv>
  <rv s="1">
    <fb>1.7585651759565901E-2</fb>
    <v>23</v>
  </rv>
  <rv s="1">
    <fb>229.35179510637599</fb>
    <v>24</v>
  </rv>
  <rv s="1">
    <fb>4.625</fb>
    <v>25</v>
  </rv>
  <rv s="1">
    <fb>0.42762166935023105</fb>
    <v>23</v>
  </rv>
  <rv s="1">
    <fb>53.909117209717202</fb>
    <v>28</v>
  </rv>
  <rv s="1">
    <fb>1.1399999999999999</fb>
    <v>29</v>
  </rv>
  <rv s="1">
    <fb>23578084052.014702</fb>
    <v>30</v>
  </rv>
  <rv s="1">
    <fb>0.80950040000000001</fb>
    <v>23</v>
  </rv>
  <rv s="1">
    <fb>0.12762589999999999</fb>
    <v>23</v>
  </rv>
  <rv s="2">
    <v>22</v>
    <v>21</v>
    <v>171</v>
    <v>7</v>
    <v>0</v>
    <v>Image of Senegal</v>
  </rv>
  <rv s="1">
    <fb>31.8</fb>
    <v>28</v>
  </rv>
  <rv s="0">
    <v>805306368</v>
    <v>Bassirou Diomaye Faye (President)</v>
    <v>4b85b865-b12f-b824-0b99-5e369a8fcabc</v>
    <v>en-US</v>
    <v>Generic</v>
  </rv>
  <rv s="0">
    <v>805306368</v>
    <v>Ousmane Sonko (Prime minister)</v>
    <v>1096fc47-a66d-8bd8-8a24-4d855e2a06c0</v>
    <v>en-US</v>
    <v>Generic</v>
  </rv>
  <rv s="3">
    <v>79</v>
  </rv>
  <rv s="4">
    <v>https://www.bing.com/search?q=senegal&amp;form=skydnc</v>
    <v>Learn more on Bing</v>
  </rv>
  <rv s="1">
    <fb>67.665000000000006</fb>
    <v>28</v>
  </rv>
  <rv s="1">
    <fb>315</fb>
    <v>28</v>
  </rv>
  <rv s="1">
    <fb>0.31</fb>
    <v>29</v>
  </rv>
  <rv s="1">
    <fb>0.44180671030000002</fb>
    <v>23</v>
  </rv>
  <rv s="1">
    <fb>6.9099999999999995E-2</fb>
    <v>25</v>
  </rv>
  <rv s="1">
    <fb>19311233</fb>
    <v>24</v>
  </rv>
  <rv s="1">
    <fb>0.217</fb>
    <v>23</v>
  </rv>
  <rv s="1">
    <fb>0.31</fb>
    <v>23</v>
  </rv>
  <rv s="1">
    <fb>0.46899999999999997</fb>
    <v>23</v>
  </rv>
  <rv s="1">
    <fb>0.15</fb>
    <v>23</v>
  </rv>
  <rv s="1">
    <fb>0.45683998107910201</fb>
    <v>23</v>
  </rv>
  <rv s="0">
    <v>536870912</v>
    <v>Dakar region</v>
    <v>3bb61292-7b3c-7124-2947-27d8f8207ea6</v>
    <v>en-US</v>
    <v>Map</v>
  </rv>
  <rv s="0">
    <v>536870912</v>
    <v>Diourbel region</v>
    <v>3a04c367-3989-9214-f703-f9caae8c2380</v>
    <v>en-US</v>
    <v>Map</v>
  </rv>
  <rv s="0">
    <v>536870912</v>
    <v>Fatick region</v>
    <v>b43f17b3-9f6f-299a-9d6e-c6be9ad16f93</v>
    <v>en-US</v>
    <v>Map</v>
  </rv>
  <rv s="0">
    <v>536870912</v>
    <v>Kaffrine region</v>
    <v>d07d2758-d957-15b8-0148-96c6ac35c8cc</v>
    <v>en-US</v>
    <v>Map</v>
  </rv>
  <rv s="0">
    <v>536870912</v>
    <v>Kaolack region</v>
    <v>86e997d8-50b5-6fbb-a0e8-cc6f1af0d180</v>
    <v>en-US</v>
    <v>Map</v>
  </rv>
  <rv s="0">
    <v>536870912</v>
    <v>Kédougou region</v>
    <v>be665ea0-47d0-74cf-a4c9-749564e5d774</v>
    <v>en-US</v>
    <v>Map</v>
  </rv>
  <rv s="0">
    <v>536870912</v>
    <v>Kolda region</v>
    <v>c6cbe52c-3bb9-4f46-99ce-df49ccf17d78</v>
    <v>en-US</v>
    <v>Map</v>
  </rv>
  <rv s="0">
    <v>536870912</v>
    <v>Louga region</v>
    <v>08e6ec18-e2d9-407c-d36e-2d2b3e5812e7</v>
    <v>en-US</v>
    <v>Map</v>
  </rv>
  <rv s="0">
    <v>536870912</v>
    <v>Matam region</v>
    <v>5b6b478c-d8e5-3d03-e263-172092ca0e2a</v>
    <v>en-US</v>
    <v>Map</v>
  </rv>
  <rv s="0">
    <v>536870912</v>
    <v>Saint-Louis region</v>
    <v>dd8c5a0a-57ff-1d66-70a5-890cccde5de6</v>
    <v>en-US</v>
    <v>Map</v>
  </rv>
  <rv s="0">
    <v>536870912</v>
    <v>Sédhiou region</v>
    <v>9f50a8d2-d72a-ae8c-222b-a038d4bfa5bf</v>
    <v>en-US</v>
    <v>Map</v>
  </rv>
  <rv s="0">
    <v>536870912</v>
    <v>Tambacounda region</v>
    <v>81d98438-d785-d9fd-11a6-ed6aff0674b7</v>
    <v>en-US</v>
    <v>Map</v>
  </rv>
  <rv s="0">
    <v>536870912</v>
    <v>Thiès region</v>
    <v>aacbf82b-f645-4869-bdab-70cf7794b920</v>
    <v>en-US</v>
    <v>Map</v>
  </rv>
  <rv s="0">
    <v>536870912</v>
    <v>Ziguinchor region</v>
    <v>d4699e3e-86b1-9fdc-8429-2bd7e9bb2f07</v>
    <v>en-US</v>
    <v>Map</v>
  </rv>
  <rv s="3">
    <v>80</v>
  </rv>
  <rv s="1">
    <fb>0.16294156680093402</fb>
    <v>23</v>
  </rv>
  <rv s="3">
    <v>81</v>
  </rv>
  <rv s="1">
    <fb>0.44799999999999995</fb>
    <v>23</v>
  </rv>
  <rv s="1">
    <fb>6.6040000915527294E-2</fb>
    <v>31</v>
  </rv>
  <rv s="1">
    <fb>7765706</fb>
    <v>24</v>
  </rv>
  <rv s="11">
    <v>#VALUE!</v>
    <v>en-US</v>
    <v>61b4b41a-e86a-1c43-604a-57097e879fb9</v>
    <v>536870912</v>
    <v>1</v>
    <v>174</v>
    <v>103</v>
    <v>Senegal</v>
    <v>19</v>
    <v>20</v>
    <v>Map</v>
    <v>21</v>
    <v>175</v>
    <v>SN</v>
    <v>1396</v>
    <v>1397</v>
    <v>1398</v>
    <v>1399</v>
    <v>1400</v>
    <v>1401</v>
    <v>1402</v>
    <v>1403</v>
    <v>1404</v>
    <v>XOF</v>
    <v>Senegal, officially the Republic of Senegal, is the westernmost country in West Africa, situated along the Atlantic Ocean coast. It borders Mauritania to the north, Mali to the east, Guinea to the southeast and Guinea-Bissau to the southwest. ...</v>
    <v>1405</v>
    <v>1406</v>
    <v>1407</v>
    <v>1408</v>
    <v>1409</v>
    <v>1410</v>
    <v>1411</v>
    <v>1412</v>
    <v>1413</v>
    <v>1414</v>
    <v>1401</v>
    <v>1417</v>
    <v>1418</v>
    <v>1419</v>
    <v>1420</v>
    <v>1421</v>
    <v>Senegal</v>
    <v>Le Lion rouge</v>
    <v>391</v>
    <v>République du Sénégal</v>
    <v>1422</v>
    <v>1423</v>
    <v>1424</v>
    <v>1425</v>
    <v>1426</v>
    <v>1427</v>
    <v>1035</v>
    <v>467</v>
    <v>932</v>
    <v>1428</v>
    <v>1429</v>
    <v>1444</v>
    <v>1445</v>
    <v>1446</v>
    <v>1447</v>
    <v>1448</v>
    <v>Senegal</v>
    <v>1449</v>
    <v>mdp/vdpid/210</v>
  </rv>
  <rv s="2">
    <v>22</v>
    <v>21</v>
    <v>171</v>
    <v>3</v>
    <v>0</v>
    <v>Image of Senegal</v>
  </rv>
  <rv s="0">
    <v>536870912</v>
    <v>Tajikistan</v>
    <v>51f28292-bea6-a5bd-4119-fc439f15243a</v>
    <v>en-US</v>
    <v>Map</v>
  </rv>
  <rv s="1">
    <fb>0.34137906189206702</fb>
    <v>23</v>
  </rv>
  <rv s="1">
    <fb>143100</fb>
    <v>24</v>
  </rv>
  <rv s="1">
    <fb>17000</fb>
    <v>24</v>
  </rv>
  <rv s="1">
    <fb>30.760999999999999</fb>
    <v>25</v>
  </rv>
  <rv s="1">
    <fb>992</fb>
    <v>26</v>
  </rv>
  <rv s="0">
    <v>536870912</v>
    <v>Dushanbe</v>
    <v>216d473a-2c50-bcc0-fe78-4415b30cbc79</v>
    <v>en-US</v>
    <v>Map</v>
  </rv>
  <rv s="1">
    <fb>5309.8159999999998</fb>
    <v>24</v>
  </rv>
  <rv s="1">
    <fb>148.56753447087999</fb>
    <v>27</v>
  </rv>
  <rv s="1">
    <fb>6.0045808232215399E-2</fb>
    <v>23</v>
  </rv>
  <rv s="1">
    <fb>1499.4850859092901</fb>
    <v>24</v>
  </rv>
  <rv s="1">
    <fb>3.585</fb>
    <v>25</v>
  </rv>
  <rv s="1">
    <fb>2.9713955897145601E-2</fb>
    <v>23</v>
  </rv>
  <rv s="1">
    <fb>45.9841418625521</fb>
    <v>28</v>
  </rv>
  <rv s="1">
    <fb>0.71</fb>
    <v>29</v>
  </rv>
  <rv s="1">
    <fb>8116626794.2583704</fb>
    <v>30</v>
  </rv>
  <rv s="1">
    <fb>1.0085743999999999</fb>
    <v>23</v>
  </rv>
  <rv s="1">
    <fb>0.3125656</fb>
    <v>23</v>
  </rv>
  <rv s="2">
    <v>23</v>
    <v>21</v>
    <v>177</v>
    <v>7</v>
    <v>0</v>
    <v>Image of Tajikistan</v>
  </rv>
  <rv s="1">
    <fb>30.4</fb>
    <v>28</v>
  </rv>
  <rv s="0">
    <v>805306368</v>
    <v>Emomali Rahmon (President)</v>
    <v>b7d56bfe-09a1-236c-06fb-e37a67d7b283</v>
    <v>en-US</v>
    <v>Generic</v>
  </rv>
  <rv s="0">
    <v>805306368</v>
    <v>Kokhir Rasulzoda (Prime minister)</v>
    <v>e81862d5-90b7-4ef8-aa86-21cbab79b013</v>
    <v>en-US</v>
    <v>Generic</v>
  </rv>
  <rv s="3">
    <v>82</v>
  </rv>
  <rv s="4">
    <v>https://www.bing.com/search?q=tajikistan&amp;form=skydnc</v>
    <v>Learn more on Bing</v>
  </rv>
  <rv s="1">
    <fb>70.879000000000005</fb>
    <v>28</v>
  </rv>
  <rv s="1">
    <fb>0.23</fb>
    <v>29</v>
  </rv>
  <rv s="3">
    <v>83</v>
  </rv>
  <rv s="1">
    <fb>0.63062999939999997</fb>
    <v>23</v>
  </rv>
  <rv s="1">
    <fb>1.7002999999999999</fb>
    <v>25</v>
  </rv>
  <rv s="1">
    <fb>9952787</fb>
    <v>24</v>
  </rv>
  <rv s="1">
    <fb>0.22399999999999998</fb>
    <v>23</v>
  </rv>
  <rv s="1">
    <fb>0.26400000000000001</fb>
    <v>23</v>
  </rv>
  <rv s="1">
    <fb>0.41700000000000004</fb>
    <v>23</v>
  </rv>
  <rv s="1">
    <fb>0.03</fb>
    <v>23</v>
  </rv>
  <rv s="1">
    <fb>0.16399999999999998</fb>
    <v>23</v>
  </rv>
  <rv s="1">
    <fb>0.42020999908447298</fb>
    <v>23</v>
  </rv>
  <rv s="0">
    <v>536870912</v>
    <v>Districts under Central Government Jurisdiction</v>
    <v>564e4cf4-bf1b-feb0-e1dc-38b09893d12b</v>
    <v>en-US</v>
    <v>Map</v>
  </rv>
  <rv s="0">
    <v>536870912</v>
    <v>Sughd Region</v>
    <v>fdbef49a-a624-b418-31c0-8f98f7af29c9</v>
    <v>en-US</v>
    <v>Map</v>
  </rv>
  <rv s="0">
    <v>536870912</v>
    <v>Khatlon Region</v>
    <v>aa2b17b7-2ed2-b63d-1d1c-598393216e3f</v>
    <v>en-US</v>
    <v>Map</v>
  </rv>
  <rv s="0">
    <v>536870912</v>
    <v>Gorno-Badakhshan</v>
    <v>694eb43a-b479-27c3-1eb4-15001a05953a</v>
    <v>en-US</v>
    <v>Map</v>
  </rv>
  <rv s="3">
    <v>84</v>
  </rv>
  <rv s="1">
    <fb>9.8210237867462288E-2</fb>
    <v>23</v>
  </rv>
  <rv s="1">
    <fb>0.67299999999999993</fb>
    <v>23</v>
  </rv>
  <rv s="1">
    <fb>0.110170001983643</fb>
    <v>31</v>
  </rv>
  <rv s="1">
    <fb>2545477</fb>
    <v>24</v>
  </rv>
  <rv s="11">
    <v>#VALUE!</v>
    <v>en-US</v>
    <v>51f28292-bea6-a5bd-4119-fc439f15243a</v>
    <v>536870912</v>
    <v>1</v>
    <v>180</v>
    <v>103</v>
    <v>Tajikistan</v>
    <v>19</v>
    <v>20</v>
    <v>Map</v>
    <v>21</v>
    <v>181</v>
    <v>TJ</v>
    <v>1453</v>
    <v>1454</v>
    <v>1455</v>
    <v>1456</v>
    <v>1457</v>
    <v>1458</v>
    <v>1459</v>
    <v>1460</v>
    <v>1461</v>
    <v>TJS</v>
    <v>Tajikistan, officially the Republic of Tajikistan, is a landlocked country in Central Asia. Dushanbe is the capital and most populous city. Tajikistan is bordered by Afghanistan to the south, Uzbekistan to the west, Kyrgyzstan to the north, and ...</v>
    <v>1462</v>
    <v>1463</v>
    <v>1464</v>
    <v>1465</v>
    <v>1466</v>
    <v>1467</v>
    <v>1468</v>
    <v>1469</v>
    <v>1470</v>
    <v>1471</v>
    <v>1458</v>
    <v>1474</v>
    <v>1475</v>
    <v>1476</v>
    <v>976</v>
    <v>1477</v>
    <v>Tajikistan</v>
    <v>Surudi Milli</v>
    <v>1478</v>
    <v>Ҷумҳурии Тоҷикистон</v>
    <v>1479</v>
    <v>1480</v>
    <v>1481</v>
    <v>1482</v>
    <v>1483</v>
    <v>1484</v>
    <v>1485</v>
    <v>698</v>
    <v>1147</v>
    <v>1486</v>
    <v>1487</v>
    <v>1492</v>
    <v>1493</v>
    <v>1272</v>
    <v>1494</v>
    <v>1495</v>
    <v>Tajikistan</v>
    <v>1496</v>
    <v>mdp/vdpid/228</v>
  </rv>
  <rv s="2">
    <v>23</v>
    <v>21</v>
    <v>177</v>
    <v>3</v>
    <v>0</v>
    <v>Image of Tajikistan</v>
  </rv>
  <rv s="0">
    <v>536870912</v>
    <v>Belgium</v>
    <v>ac5bcc34-e1cd-2e76-9d31-fb1be1159a5e</v>
    <v>en-US</v>
    <v>Map</v>
  </rv>
  <rv s="1">
    <fb>0.44610305443465298</fb>
    <v>23</v>
  </rv>
  <rv s="1">
    <fb>30688</fb>
    <v>24</v>
  </rv>
  <rv s="1">
    <fb>32000</fb>
    <v>24</v>
  </rv>
  <rv s="1">
    <fb>10.3</fb>
    <v>25</v>
  </rv>
  <rv s="1">
    <fb>32</fb>
    <v>26</v>
  </rv>
  <rv s="0">
    <v>536870912</v>
    <v>City of Brussels</v>
    <v>95e13b04-adba-5f35-d2c5-f828990ca1fd</v>
    <v>en-US</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24</v>
    <v>21</v>
    <v>183</v>
    <v>7</v>
    <v>0</v>
    <v>Image of Belgium</v>
  </rv>
  <rv s="1">
    <fb>2.9</fb>
    <v>28</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3">
    <v>85</v>
  </rv>
  <rv s="4">
    <v>https://www.bing.com/search?q=belgium&amp;form=skydnc</v>
    <v>Learn more on Bing</v>
  </rv>
  <rv s="1">
    <fb>81.595121951219497</fb>
    <v>28</v>
  </rv>
  <rv s="1">
    <fb>321093542983.70203</fb>
    <v>30</v>
  </rv>
  <rv s="1">
    <fb>5</fb>
    <v>28</v>
  </rv>
  <rv s="1">
    <fb>10.31</fb>
    <v>29</v>
  </rv>
  <rv s="3">
    <v>86</v>
  </rv>
  <rv s="1">
    <fb>0.17567192210000002</fb>
    <v>23</v>
  </rv>
  <rv s="1">
    <fb>3.0709</fb>
    <v>25</v>
  </rv>
  <rv s="1">
    <fb>11669446</fb>
    <v>24</v>
  </rv>
  <rv s="1">
    <fb>0.22699999999999998</fb>
    <v>23</v>
  </rv>
  <rv s="1">
    <fb>0.36299999999999999</fb>
    <v>23</v>
  </rv>
  <rv s="1">
    <fb>3.3000000000000002E-2</fb>
    <v>23</v>
  </rv>
  <rv s="1">
    <fb>8.6999999999999994E-2</fb>
    <v>23</v>
  </rv>
  <rv s="1">
    <fb>0.14199999999999999</fb>
    <v>23</v>
  </rv>
  <rv s="1">
    <fb>0.18100000000000002</fb>
    <v>23</v>
  </rv>
  <rv s="1">
    <fb>0.53562000274658206</fb>
    <v>23</v>
  </rv>
  <rv s="0">
    <v>536870912</v>
    <v>Flemish Region</v>
    <v>f250b992-acb5-d7d5-db4f-47fb684176fd</v>
    <v>en-US</v>
    <v>Map</v>
  </rv>
  <rv s="0">
    <v>536870912</v>
    <v>Wallonia</v>
    <v>077dc74d-75df-1a0d-c05f-5dc9a9747925</v>
    <v>en-US</v>
    <v>Map</v>
  </rv>
  <rv s="3">
    <v>87</v>
  </rv>
  <rv s="1">
    <fb>0.23994106172459101</fb>
    <v>23</v>
  </rv>
  <rv s="3">
    <v>88</v>
  </rv>
  <rv s="1">
    <fb>0.55399999999999994</fb>
    <v>23</v>
  </rv>
  <rv s="1">
    <fb>5.5890002250671394E-2</fb>
    <v>31</v>
  </rv>
  <rv s="1">
    <fb>11259082</fb>
    <v>24</v>
  </rv>
  <rv s="6">
    <v>#VALUE!</v>
    <v>en-US</v>
    <v>ac5bcc34-e1cd-2e76-9d31-fb1be1159a5e</v>
    <v>536870912</v>
    <v>1</v>
    <v>186</v>
    <v>37</v>
    <v>Belgium</v>
    <v>19</v>
    <v>20</v>
    <v>Map</v>
    <v>21</v>
    <v>187</v>
    <v>BE</v>
    <v>1500</v>
    <v>1501</v>
    <v>1502</v>
    <v>1503</v>
    <v>1504</v>
    <v>1505</v>
    <v>1506</v>
    <v>1507</v>
    <v>1508</v>
    <v>EUR</v>
    <v>Belgium, officially the Kingdom of Belgium, is a country in Northwestern Europe. Situated in a coastal lowland region known as the Low Countries, it is bordered by the Netherlands to the north, Germany to the east, Luxembourg to the southeast, ...</v>
    <v>1509</v>
    <v>1510</v>
    <v>1511</v>
    <v>1512</v>
    <v>1513</v>
    <v>1514</v>
    <v>1515</v>
    <v>1516</v>
    <v>1517</v>
    <v>1518</v>
    <v>1519</v>
    <v>1522</v>
    <v>1523</v>
    <v>1524</v>
    <v>1525</v>
    <v>1526</v>
    <v>1527</v>
    <v>Belgium</v>
    <v>La Brabançonne</v>
    <v>1528</v>
    <v>Königreich Belgien</v>
    <v>1529</v>
    <v>1530</v>
    <v>1531</v>
    <v>1532</v>
    <v>755</v>
    <v>1533</v>
    <v>1534</v>
    <v>1535</v>
    <v>1536</v>
    <v>1537</v>
    <v>1538</v>
    <v>1541</v>
    <v>1542</v>
    <v>1543</v>
    <v>1544</v>
    <v>1545</v>
    <v>Belgium</v>
    <v>1546</v>
    <v>mdp/vdpid/21</v>
  </rv>
  <rv s="2">
    <v>24</v>
    <v>21</v>
    <v>183</v>
    <v>3</v>
    <v>0</v>
    <v>Image of Belgium</v>
  </rv>
  <rv s="0">
    <v>536870912</v>
    <v>Mali</v>
    <v>cb03b340-e63c-9100-b964-810a109c951b</v>
    <v>en-US</v>
    <v>Map</v>
  </rv>
  <rv s="1">
    <fb>0.337660528278383</fb>
    <v>23</v>
  </rv>
  <rv s="1">
    <fb>1240192</fb>
    <v>24</v>
  </rv>
  <rv s="1">
    <fb>41.542999999999999</fb>
    <v>25</v>
  </rv>
  <rv s="1">
    <fb>223</fb>
    <v>26</v>
  </rv>
  <rv s="0">
    <v>536870912</v>
    <v>Bamako</v>
    <v>36570696-0722-c230-e02f-48363a1eb2c0</v>
    <v>en-US</v>
    <v>Map</v>
  </rv>
  <rv s="1">
    <fb>3179.2890000000002</fb>
    <v>24</v>
  </rv>
  <rv s="1">
    <fb>108.726079750895</fb>
    <v>27</v>
  </rv>
  <rv s="1">
    <fb>-1.6582669484636801E-2</fb>
    <v>23</v>
  </rv>
  <rv s="1">
    <fb>5.8769999999999998</fb>
    <v>25</v>
  </rv>
  <rv s="1">
    <fb>3.79940828887304E-2</fb>
    <v>23</v>
  </rv>
  <rv s="1">
    <fb>1.1200000000000001</fb>
    <v>29</v>
  </rv>
  <rv s="1">
    <fb>17510141171.340302</fb>
    <v>30</v>
  </rv>
  <rv s="1">
    <fb>0.75600599999999996</fb>
    <v>23</v>
  </rv>
  <rv s="1">
    <fb>4.5168999999999994E-2</fb>
    <v>23</v>
  </rv>
  <rv s="2">
    <v>25</v>
    <v>21</v>
    <v>189</v>
    <v>7</v>
    <v>0</v>
    <v>Image of Mali</v>
  </rv>
  <rv s="1">
    <fb>62</fb>
    <v>28</v>
  </rv>
  <rv s="0">
    <v>805306368</v>
    <v>Assimi Goïta (President)</v>
    <v>342e173e-887f-3282-7adc-383a6ef45cd6</v>
    <v>en-US</v>
    <v>Generic</v>
  </rv>
  <rv s="0">
    <v>805306368</v>
    <v>Abdoulaye Maïga (Prime minister)</v>
    <v>43a0d807-df96-eb00-4d1b-4ab8e7c42ef7</v>
    <v>en-US</v>
    <v>Generic</v>
  </rv>
  <rv s="3">
    <v>89</v>
  </rv>
  <rv s="4">
    <v>https://www.bing.com/search?q=mali&amp;form=skydnc</v>
    <v>Learn more on Bing</v>
  </rv>
  <rv s="1">
    <fb>58.893000000000001</fb>
    <v>28</v>
  </rv>
  <rv s="1">
    <fb>562</fb>
    <v>28</v>
  </rv>
  <rv s="3">
    <v>90</v>
  </rv>
  <rv s="1">
    <fb>0.46307496290000005</fb>
    <v>23</v>
  </rv>
  <rv s="1">
    <fb>0.12859999999999999</fb>
    <v>25</v>
  </rv>
  <rv s="1">
    <fb>22634423</fb>
    <v>24</v>
  </rv>
  <rv s="1">
    <fb>0.25700000000000001</fb>
    <v>23</v>
  </rv>
  <rv s="1">
    <fb>0.41299999999999998</fb>
    <v>23</v>
  </rv>
  <rv s="1">
    <fb>0.08</fb>
    <v>23</v>
  </rv>
  <rv s="1">
    <fb>0.121</fb>
    <v>23</v>
  </rv>
  <rv s="1">
    <fb>0.7081300354003911</fb>
    <v>23</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91</v>
  </rv>
  <rv s="1">
    <fb>0.116009205091107</fb>
    <v>23</v>
  </rv>
  <rv s="3">
    <v>92</v>
  </rv>
  <rv s="1">
    <fb>0.54500000000000004</fb>
    <v>23</v>
  </rv>
  <rv s="1">
    <fb>7.2239999771118196E-2</fb>
    <v>31</v>
  </rv>
  <rv s="1">
    <fb>8479688</fb>
    <v>24</v>
  </rv>
  <rv s="10">
    <v>#VALUE!</v>
    <v>en-US</v>
    <v>cb03b340-e63c-9100-b964-810a109c951b</v>
    <v>536870912</v>
    <v>1</v>
    <v>192</v>
    <v>78</v>
    <v>Mali</v>
    <v>19</v>
    <v>20</v>
    <v>Map</v>
    <v>21</v>
    <v>193</v>
    <v>ML</v>
    <v>1550</v>
    <v>1551</v>
    <v>1281</v>
    <v>1552</v>
    <v>1553</v>
    <v>1554</v>
    <v>1555</v>
    <v>1556</v>
    <v>1557</v>
    <v>XOF</v>
    <v>Mali, officially the Republic of Mali, is a landlocked country in West Africa. It is the eighth-largest country in Africa and the 23rd largest country in the world, with an area of over 1,240,192 square kilometres.</v>
    <v>1558</v>
    <v>1559</v>
    <v>1560</v>
    <v>1561</v>
    <v>1562</v>
    <v>1563</v>
    <v>1564</v>
    <v>1565</v>
    <v>1554</v>
    <v>1568</v>
    <v>1569</v>
    <v>1570</v>
    <v>1571</v>
    <v>1477</v>
    <v>Mali</v>
    <v>Le Mali</v>
    <v>1572</v>
    <v>Mali</v>
    <v>1573</v>
    <v>1574</v>
    <v>1575</v>
    <v>1032</v>
    <v>1576</v>
    <v>1577</v>
    <v>1534</v>
    <v>1578</v>
    <v>1579</v>
    <v>37</v>
    <v>1580</v>
    <v>1589</v>
    <v>1590</v>
    <v>1591</v>
    <v>1592</v>
    <v>1593</v>
    <v>Mali</v>
    <v>1594</v>
    <v>mdp/vdpid/157</v>
  </rv>
  <rv s="2">
    <v>25</v>
    <v>21</v>
    <v>189</v>
    <v>3</v>
    <v>0</v>
    <v>Image of Mali</v>
  </rv>
  <rv s="0">
    <v>536870912</v>
    <v>New Zealand</v>
    <v>6517d967-9362-4c0d-83d2-cf369fa5fcda</v>
    <v>en-US</v>
    <v>Map</v>
  </rv>
  <rv s="1">
    <fb>0.40450419657437997</fb>
    <v>23</v>
  </rv>
  <rv s="1">
    <fb>268021</fb>
    <v>24</v>
  </rv>
  <rv s="1">
    <fb>9000</fb>
    <v>24</v>
  </rv>
  <rv s="1">
    <fb>11.98</fb>
    <v>25</v>
  </rv>
  <rv s="1">
    <fb>64</fb>
    <v>26</v>
  </rv>
  <rv s="0">
    <v>536870912</v>
    <v>Wellington</v>
    <v>32f22f58-aa8d-2985-7edd-15665cf5d1d4</v>
    <v>en-US</v>
    <v>Map</v>
  </rv>
  <rv s="1">
    <fb>34381.792000000001</fb>
    <v>24</v>
  </rv>
  <rv s="1">
    <fb>114.24091176441399</fb>
    <v>27</v>
  </rv>
  <rv s="1">
    <fb>1.61963190184049E-2</fb>
    <v>23</v>
  </rv>
  <rv s="1">
    <fb>9026.32104131095</fb>
    <v>24</v>
  </rv>
  <rv s="1">
    <fb>1.71</fb>
    <v>25</v>
  </rv>
  <rv s="1">
    <fb>0.385560753306464</fb>
    <v>23</v>
  </rv>
  <rv s="1">
    <fb>59.749168536122298</fb>
    <v>28</v>
  </rv>
  <rv s="1">
    <fb>206928765543.935</fb>
    <v>30</v>
  </rv>
  <rv s="1">
    <fb>0.99974760000000007</fb>
    <v>23</v>
  </rv>
  <rv s="1">
    <fb>0.82033219999999996</fb>
    <v>23</v>
  </rv>
  <rv s="2">
    <v>26</v>
    <v>21</v>
    <v>195</v>
    <v>7</v>
    <v>0</v>
    <v>Image of New Zealand</v>
  </rv>
  <rv s="1">
    <fb>4.7</fb>
    <v>28</v>
  </rv>
  <rv s="0">
    <v>536870912</v>
    <v>Auckland</v>
    <v>49fabed5-6ff0-6935-ebef-34c7b83444c6</v>
    <v>en-US</v>
    <v>Map</v>
  </rv>
  <rv s="0">
    <v>805306368</v>
    <v>Christopher Luxon (Prime minister)</v>
    <v>f4acd941-0c27-c0d7-9cd8-d4caf5b2eca7</v>
    <v>en-US</v>
    <v>Generic</v>
  </rv>
  <rv s="3">
    <v>93</v>
  </rv>
  <rv s="4">
    <v>https://www.bing.com/search?q=new+zealand&amp;form=skydnc</v>
    <v>Learn more on Bing</v>
  </rv>
  <rv s="1">
    <fb>81.858536585365897</fb>
    <v>28</v>
  </rv>
  <rv s="1">
    <fb>107879780000</fb>
    <v>30</v>
  </rv>
  <rv s="1">
    <fb>11.49</fb>
    <v>29</v>
  </rv>
  <rv s="3">
    <v>94</v>
  </rv>
  <rv s="1">
    <fb>0.1262851619</fb>
    <v>23</v>
  </rv>
  <rv s="1">
    <fb>3.5897999999999999</fb>
    <v>25</v>
  </rv>
  <rv s="1">
    <fb>5124100</fb>
    <v>24</v>
  </rv>
  <rv s="1">
    <fb>0.69907997131347699</fb>
    <v>23</v>
  </rv>
  <rv s="0">
    <v>536870912</v>
    <v>Northland Region</v>
    <v>2665962f-608c-e3a6-90ac-6dae5fcfa89a</v>
    <v>en-US</v>
    <v>Map</v>
  </rv>
  <rv s="0">
    <v>536870912</v>
    <v>Auckland Region</v>
    <v>d8789fe9-89c8-cf4c-4ab2-749138d529af</v>
    <v>en-US</v>
    <v>Map</v>
  </rv>
  <rv s="0">
    <v>536870912</v>
    <v>Waikato</v>
    <v>66746262-e3dd-ecd0-3365-023774ad95f3</v>
    <v>en-US</v>
    <v>Map</v>
  </rv>
  <rv s="0">
    <v>536870912</v>
    <v>Gisborne District</v>
    <v>979bc9a8-a9fe-f6f1-4e5a-eda4cdb2aa39</v>
    <v>en-US</v>
    <v>Map</v>
  </rv>
  <rv s="0">
    <v>536870912</v>
    <v>Taranaki</v>
    <v>63a5cf5c-10da-bf8e-86f5-0eae79126fd5</v>
    <v>en-US</v>
    <v>Map</v>
  </rv>
  <rv s="0">
    <v>536870912</v>
    <v>Manawatū-Whanganui</v>
    <v>12b5d5c7-22b1-fad0-7588-ee18879fcaf1</v>
    <v>en-US</v>
    <v>Map</v>
  </rv>
  <rv s="0">
    <v>536870912</v>
    <v>Hawke's Bay</v>
    <v>3fbdf1b6-a72b-cb02-0247-761081d3eb9b</v>
    <v>en-US</v>
    <v>Map</v>
  </rv>
  <rv s="0">
    <v>536870912</v>
    <v>Marlborough District</v>
    <v>da16a0fa-e7d9-7398-48d7-25300defd7a1</v>
    <v>en-US</v>
    <v>Map</v>
  </rv>
  <rv s="0">
    <v>536870912</v>
    <v>Tasman District</v>
    <v>7594ce17-48d4-850a-d609-fff5294ec8a8</v>
    <v>en-US</v>
    <v>Map</v>
  </rv>
  <rv s="0">
    <v>536870912</v>
    <v>West Coast Region</v>
    <v>3ff3be7b-ae84-7078-9f30-e95a8ff9130d</v>
    <v>en-US</v>
    <v>Map</v>
  </rv>
  <rv s="0">
    <v>536870912</v>
    <v>Canterbury Region</v>
    <v>0e1a0dee-2d50-4b7e-a077-88d33118ccb8</v>
    <v>en-US</v>
    <v>Map</v>
  </rv>
  <rv s="0">
    <v>536870912</v>
    <v>Otago</v>
    <v>17e97a96-3af4-d536-b6c0-a3027228ac45</v>
    <v>en-US</v>
    <v>Map</v>
  </rv>
  <rv s="0">
    <v>536870912</v>
    <v>Southland Region</v>
    <v>4fd239d4-c566-75fc-eb92-c963e312af8b</v>
    <v>en-US</v>
    <v>Map</v>
  </rv>
  <rv s="3">
    <v>95</v>
  </rv>
  <rv s="1">
    <fb>0.28975427581727603</fb>
    <v>23</v>
  </rv>
  <rv s="3">
    <v>96</v>
  </rv>
  <rv s="1">
    <fb>0.34600000000000003</fb>
    <v>23</v>
  </rv>
  <rv s="1">
    <fb>4.0689997673034703E-2</fb>
    <v>31</v>
  </rv>
  <rv s="1">
    <fb>4258860</fb>
    <v>24</v>
  </rv>
  <rv s="13">
    <v>#VALUE!</v>
    <v>en-US</v>
    <v>6517d967-9362-4c0d-83d2-cf369fa5fcda</v>
    <v>536870912</v>
    <v>1</v>
    <v>198</v>
    <v>123</v>
    <v>New Zealand</v>
    <v>19</v>
    <v>20</v>
    <v>Map</v>
    <v>21</v>
    <v>199</v>
    <v>NZ</v>
    <v>1598</v>
    <v>1599</v>
    <v>1600</v>
    <v>1601</v>
    <v>1602</v>
    <v>1603</v>
    <v>1604</v>
    <v>1605</v>
    <v>1606</v>
    <v>NZD</v>
    <v>New Zealand is an island country in the southwestern Pacific Ocean. It consists of two main landmasses—the North Island and the South Island —and over 600 smaller islands. It is the sixth-largest island country by area and lies east of Australia ...</v>
    <v>1607</v>
    <v>1608</v>
    <v>1609</v>
    <v>1610</v>
    <v>1355</v>
    <v>1611</v>
    <v>1612</v>
    <v>1613</v>
    <v>1614</v>
    <v>1615</v>
    <v>1616</v>
    <v>1618</v>
    <v>1619</v>
    <v>1620</v>
    <v>1621</v>
    <v>220</v>
    <v>1622</v>
    <v>New Zealand</v>
    <v>God Defend New Zealand</v>
    <v>1623</v>
    <v>New Zealand</v>
    <v>1624</v>
    <v>1625</v>
    <v>1626</v>
    <v>1627</v>
    <v>1641</v>
    <v>1642</v>
    <v>1643</v>
    <v>1644</v>
    <v>1645</v>
    <v>New Zealand</v>
    <v>1646</v>
    <v>mdp/vdpid/183</v>
  </rv>
  <rv s="2">
    <v>26</v>
    <v>21</v>
    <v>195</v>
    <v>3</v>
    <v>0</v>
    <v>Image of New Zealand</v>
  </rv>
  <rv s="0">
    <v>536870912</v>
    <v>Vietnam</v>
    <v>9eb3adfc-79da-211b-6de2-580a522f56a5</v>
    <v>en-US</v>
    <v>Map</v>
  </rv>
  <rv s="1">
    <fb>0.39275002418808697</fb>
    <v>23</v>
  </rv>
  <rv s="1">
    <fb>331690</fb>
    <v>24</v>
  </rv>
  <rv s="1">
    <fb>522000</fb>
    <v>24</v>
  </rv>
  <rv s="1">
    <fb>16.745000000000001</fb>
    <v>25</v>
  </rv>
  <rv s="1">
    <fb>84</fb>
    <v>26</v>
  </rv>
  <rv s="0">
    <v>536870912</v>
    <v>Hanoi</v>
    <v>0ac97487-debb-537a-b806-132c4e5513e6</v>
    <v>en-US</v>
    <v>Map</v>
  </rv>
  <rv s="1">
    <fb>192667.84700000001</fb>
    <v>24</v>
  </rv>
  <rv s="1">
    <fb>163.516947912918</fb>
    <v>27</v>
  </rv>
  <rv s="1">
    <fb>2.7958236745224602E-2</fb>
    <v>23</v>
  </rv>
  <rv s="1">
    <fb>1423.68834535005</fb>
    <v>24</v>
  </rv>
  <rv s="1">
    <fb>2.0489999999999999</fb>
    <v>25</v>
  </rv>
  <rv s="1">
    <fb>0.48060115457799901</fb>
    <v>23</v>
  </rv>
  <rv s="1">
    <fb>69.821836554711396</fb>
    <v>28</v>
  </rv>
  <rv s="1">
    <fb>0.8</fb>
    <v>29</v>
  </rv>
  <rv s="1">
    <fb>261921244843.172</fb>
    <v>30</v>
  </rv>
  <rv s="1">
    <fb>1.1059481</fb>
    <v>23</v>
  </rv>
  <rv s="1">
    <fb>0.28544969999999997</fb>
    <v>23</v>
  </rv>
  <rv s="2">
    <v>27</v>
    <v>21</v>
    <v>201</v>
    <v>7</v>
    <v>0</v>
    <v>Image of Vietnam</v>
  </rv>
  <rv s="1">
    <fb>16.5</fb>
    <v>28</v>
  </rv>
  <rv s="0">
    <v>536870912</v>
    <v>Da Nang</v>
    <v>f8246024-fd05-5f2e-4a14-6b19c96b8962</v>
    <v>en-US</v>
    <v>Map</v>
  </rv>
  <rv s="0">
    <v>805306368</v>
    <v>Tô Lâm (President)</v>
    <v>9152904f-4e37-e328-0b36-b86232456217</v>
    <v>en-US</v>
    <v>Generic</v>
  </rv>
  <rv s="0">
    <v>805306368</v>
    <v>Lê Minh Hưng (Prime minister)</v>
    <v>3cf1d570-836b-d705-8255-271acdcd2bc6</v>
    <v>en-US</v>
    <v>Generic</v>
  </rv>
  <rv s="3">
    <v>97</v>
  </rv>
  <rv s="4">
    <v>https://www.bing.com/search?q=vietnam&amp;form=skydnc</v>
    <v>Learn more on Bing</v>
  </rv>
  <rv s="1">
    <fb>75.316999999999993</fb>
    <v>28</v>
  </rv>
  <rv s="1">
    <fb>149817280000</fb>
    <v>30</v>
  </rv>
  <rv s="1">
    <fb>43</fb>
    <v>28</v>
  </rv>
  <rv s="1">
    <fb>0.73</fb>
    <v>29</v>
  </rv>
  <rv s="3">
    <v>98</v>
  </rv>
  <rv s="1">
    <fb>0.43479386130000003</fb>
    <v>23</v>
  </rv>
  <rv s="1">
    <fb>0.81989999999999996</fb>
    <v>25</v>
  </rv>
  <rv s="1">
    <fb>106688169</fb>
    <v>24</v>
  </rv>
  <rv s="1">
    <fb>0.223</fb>
    <v>23</v>
  </rv>
  <rv s="1">
    <fb>0.27500000000000002</fb>
    <v>23</v>
  </rv>
  <rv s="1">
    <fb>0.42899999999999999</fb>
    <v>23</v>
  </rv>
  <rv s="1">
    <fb>6.7000000000000004E-2</fb>
    <v>23</v>
  </rv>
  <rv s="1">
    <fb>0.11900000000000001</fb>
    <v>23</v>
  </rv>
  <rv s="1">
    <fb>0.16300000000000001</fb>
    <v>23</v>
  </rv>
  <rv s="1">
    <fb>0.77446998596191408</fb>
    <v>23</v>
  </rv>
  <rv s="0">
    <v>536870912</v>
    <v>Bắc Ninh province</v>
    <v>f32cb7e6-e8de-e987-fdc3-d349e9f4e82e</v>
    <v>en-US</v>
    <v>Map</v>
  </rv>
  <rv s="0">
    <v>536870912</v>
    <v>Hưng Yên province</v>
    <v>28bec015-649c-78a7-80bf-5842f8e42a12</v>
    <v>en-US</v>
    <v>Map</v>
  </rv>
  <rv s="0">
    <v>536870912</v>
    <v>Ninh Bình province</v>
    <v>62b119cc-af6e-600e-8f0c-8333a24d940a</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Trị province</v>
    <v>c613de3e-0fd4-e7d3-ca25-23a39acae6a0</v>
    <v>en-US</v>
    <v>Map</v>
  </rv>
  <rv s="0">
    <v>536870912</v>
    <v>Thanh Hóa province</v>
    <v>e85d3d3b-de2c-8d0a-e9b3-e0142c67be30</v>
    <v>en-US</v>
    <v>Map</v>
  </rv>
  <rv s="0">
    <v>536870912</v>
    <v>Huế</v>
    <v>f7b07e05-ef1d-43f3-01a3-e6cd0b4f3a13</v>
    <v>en-US</v>
    <v>Map</v>
  </rv>
  <rv s="0">
    <v>536870912</v>
    <v>Cao Bằng province</v>
    <v>4acb1135-b911-f6ea-8d38-a940f8dc11a1</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Điện Biên province</v>
    <v>91b9e8ee-eb7b-c834-6445-5d05e91c47a5</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Gia Lai province</v>
    <v>1cb0f121-66e9-ca97-81f1-6e75deb8f21b</v>
    <v>en-US</v>
    <v>Map</v>
  </rv>
  <rv s="0">
    <v>536870912</v>
    <v>Lâm Đồng province</v>
    <v>7a96af21-4aad-f7fe-bc18-33530300b18a</v>
    <v>en-US</v>
    <v>Map</v>
  </rv>
  <rv s="0">
    <v>536870912</v>
    <v>Khánh Hòa province</v>
    <v>5598b0f8-eaa1-ada1-ce8e-7e1b98529633</v>
    <v>en-US</v>
    <v>Map</v>
  </rv>
  <rv s="0">
    <v>536870912</v>
    <v>Quảng Ngãi province</v>
    <v>f5034736-04f4-30be-a40e-ab8e3b3a6d79</v>
    <v>en-US</v>
    <v>Map</v>
  </rv>
  <rv s="0">
    <v>536870912</v>
    <v>Đồng Nai</v>
    <v>cdfef3d2-dda8-9c2e-6adf-7ad8a9b3fbd8</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Cà Mau province</v>
    <v>96b2988a-eab5-1716-03a6-ffc1ee638013</v>
    <v>en-US</v>
    <v>Map</v>
  </rv>
  <rv s="0">
    <v>536870912</v>
    <v>Đồng Tháp province</v>
    <v>8808ccd8-3c62-17d7-bb5b-70dc40b07b15</v>
    <v>en-US</v>
    <v>Map</v>
  </rv>
  <rv s="0">
    <v>536870912</v>
    <v>Vĩnh Long province</v>
    <v>f3c039e0-a221-404d-c8bf-4d87246216df</v>
    <v>en-US</v>
    <v>Map</v>
  </rv>
  <rv s="0">
    <v>536870912</v>
    <v>Cần Thơ</v>
    <v>c6aad310-0349-6338-8c66-5a69d2c4914f</v>
    <v>en-US</v>
    <v>Map</v>
  </rv>
  <rv s="3">
    <v>99</v>
  </rv>
  <rv s="1">
    <fb>0.190698671023491</fb>
    <v>23</v>
  </rv>
  <rv s="3">
    <v>100</v>
  </rv>
  <rv s="1">
    <fb>0.376</fb>
    <v>23</v>
  </rv>
  <rv s="1">
    <fb>2.01300001144409E-2</fb>
    <v>31</v>
  </rv>
  <rv s="1">
    <fb>35332140</fb>
    <v>24</v>
  </rv>
  <rv s="6">
    <v>#VALUE!</v>
    <v>en-US</v>
    <v>9eb3adfc-79da-211b-6de2-580a522f56a5</v>
    <v>536870912</v>
    <v>1</v>
    <v>204</v>
    <v>37</v>
    <v>Vietnam</v>
    <v>19</v>
    <v>20</v>
    <v>Map</v>
    <v>21</v>
    <v>205</v>
    <v>VN</v>
    <v>1650</v>
    <v>1651</v>
    <v>1652</v>
    <v>1653</v>
    <v>1654</v>
    <v>1655</v>
    <v>1656</v>
    <v>1657</v>
    <v>1658</v>
    <v>VND</v>
    <v>Vietnam, officially the Socialist Republic of Viet Nam, is a country at the eastern edge of Mainland Southeast Asia. With an area of about 331,000 square kilometres and a population of over 102 million, it is the world's 16th-most populous ...</v>
    <v>1659</v>
    <v>1660</v>
    <v>1661</v>
    <v>1662</v>
    <v>1663</v>
    <v>1664</v>
    <v>1665</v>
    <v>1666</v>
    <v>1667</v>
    <v>1668</v>
    <v>1669</v>
    <v>1672</v>
    <v>1673</v>
    <v>1674</v>
    <v>1675</v>
    <v>1676</v>
    <v>1677</v>
    <v>Vietnam</v>
    <v>Tiến quân ca</v>
    <v>1678</v>
    <v>Cộng hòa Xã hội Chủ nghĩa Việt Nam</v>
    <v>1679</v>
    <v>1680</v>
    <v>1681</v>
    <v>1682</v>
    <v>1683</v>
    <v>1684</v>
    <v>466</v>
    <v>1685</v>
    <v>1686</v>
    <v>1687</v>
    <v>1688</v>
    <v>1721</v>
    <v>1722</v>
    <v>1723</v>
    <v>1724</v>
    <v>1725</v>
    <v>Vietnam</v>
    <v>1726</v>
    <v>mdp/vdpid/251</v>
  </rv>
  <rv s="2">
    <v>27</v>
    <v>21</v>
    <v>201</v>
    <v>3</v>
    <v>0</v>
    <v>Image of Vietnam</v>
  </rv>
  <rv s="0">
    <v>536870912</v>
    <v>China</v>
    <v>5fcc3d97-0cf2-94e5-6dad-cd70e387bd69</v>
    <v>en-US</v>
    <v>Map</v>
  </rv>
  <rv s="1">
    <fb>0.56212313103349798</fb>
    <v>23</v>
  </rv>
  <rv s="1">
    <fb>9596961</fb>
    <v>24</v>
  </rv>
  <rv s="1">
    <fb>2695000</fb>
    <v>24</v>
  </rv>
  <rv s="1">
    <fb>10.9</fb>
    <v>25</v>
  </rv>
  <rv s="1">
    <fb>86</fb>
    <v>26</v>
  </rv>
  <rv s="0">
    <v>536870912</v>
    <v>Beijing</v>
    <v>e43bc499-902a-5deb-aced-aa4a247e6822</v>
    <v>en-US</v>
    <v>Map</v>
  </rv>
  <rv s="1">
    <fb>9893037.9519999996</fb>
    <v>24</v>
  </rv>
  <rv s="1">
    <fb>125.083155733959</fb>
    <v>27</v>
  </rv>
  <rv s="1">
    <fb>2.8992357992594101E-2</fb>
    <v>23</v>
  </rv>
  <rv s="1">
    <fb>3927.0444999890101</fb>
    <v>24</v>
  </rv>
  <rv s="1">
    <fb>1.69</fb>
    <v>25</v>
  </rv>
  <rv s="1">
    <fb>0.22353941805732902</fb>
    <v>23</v>
  </rv>
  <rv s="1">
    <fb>87.670430768185398</fb>
    <v>28</v>
  </rv>
  <rv s="1">
    <fb>0.96</fb>
    <v>29</v>
  </rv>
  <rv s="1">
    <fb>19910000000000</fb>
    <v>30</v>
  </rv>
  <rv s="1">
    <fb>1.0022275</fb>
    <v>23</v>
  </rv>
  <rv s="1">
    <fb>0.50604439999999995</fb>
    <v>23</v>
  </rv>
  <rv s="2">
    <v>28</v>
    <v>21</v>
    <v>207</v>
    <v>7</v>
    <v>0</v>
    <v>Image of China</v>
  </rv>
  <rv s="1">
    <fb>7.4</fb>
    <v>28</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101</v>
  </rv>
  <rv s="4">
    <v>https://www.bing.com/search?q=china&amp;form=skydnc</v>
    <v>Learn more on Bing</v>
  </rv>
  <rv s="1">
    <fb>76.959999999999994</fb>
    <v>28</v>
  </rv>
  <rv s="1">
    <fb>8515504380000</fb>
    <v>30</v>
  </rv>
  <rv s="1">
    <fb>0.87</fb>
    <v>29</v>
  </rv>
  <rv s="3">
    <v>102</v>
  </rv>
  <rv s="1">
    <fb>0.32386296240000001</fb>
    <v>23</v>
  </rv>
  <rv s="1">
    <fb>1.9798</fb>
    <v>25</v>
  </rv>
  <rv s="1">
    <fb>1412175000</fb>
    <v>24</v>
  </rv>
  <rv s="1">
    <fb>0.222</fb>
    <v>23</v>
  </rv>
  <rv s="1">
    <fb>0.29299999999999998</fb>
    <v>23</v>
  </rv>
  <rv s="1">
    <fb>0.45299999999999996</fb>
    <v>23</v>
  </rv>
  <rv s="1">
    <fb>6.5000000000000002E-2</fb>
    <v>23</v>
  </rv>
  <rv s="1">
    <fb>0.107</fb>
    <v>23</v>
  </rv>
  <rv s="1">
    <fb>0.67986999511718804</fb>
    <v>23</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103</v>
  </rv>
  <rv s="1">
    <fb>9.4193182022714303E-2</fb>
    <v>23</v>
  </rv>
  <rv s="3">
    <v>104</v>
  </rv>
  <rv s="1">
    <fb>0.59200000000000008</fb>
    <v>23</v>
  </rv>
  <rv s="1">
    <fb>4.3200001716613798E-2</fb>
    <v>31</v>
  </rv>
  <rv s="1">
    <fb>842933962</fb>
    <v>24</v>
  </rv>
  <rv s="6">
    <v>#VALUE!</v>
    <v>en-US</v>
    <v>5fcc3d97-0cf2-94e5-6dad-cd70e387bd69</v>
    <v>536870912</v>
    <v>1</v>
    <v>211</v>
    <v>37</v>
    <v>China</v>
    <v>19</v>
    <v>20</v>
    <v>Map</v>
    <v>21</v>
    <v>212</v>
    <v>CN</v>
    <v>1730</v>
    <v>1731</v>
    <v>1732</v>
    <v>1733</v>
    <v>1734</v>
    <v>1735</v>
    <v>1736</v>
    <v>1737</v>
    <v>1738</v>
    <v>CNY</v>
    <v>China, officially the People's Republic of China, is a country in East Asia. With a population exceeding 1.4 billion, it is the second-most populous country after India, representing 17.4% of the world population. China spans the equivalent of ...</v>
    <v>1739</v>
    <v>1740</v>
    <v>1741</v>
    <v>1742</v>
    <v>1743</v>
    <v>1744</v>
    <v>1745</v>
    <v>1746</v>
    <v>1747</v>
    <v>1748</v>
    <v>1749</v>
    <v>1754</v>
    <v>1755</v>
    <v>1756</v>
    <v>1757</v>
    <v>1246</v>
    <v>1758</v>
    <v>China</v>
    <v>March of the Volunteers</v>
    <v>1759</v>
    <v>中华人民共和国</v>
    <v>1760</v>
    <v>1761</v>
    <v>1762</v>
    <v>1763</v>
    <v>1764</v>
    <v>1765</v>
    <v>1311</v>
    <v>1766</v>
    <v>1767</v>
    <v>1038</v>
    <v>1768</v>
    <v>1800</v>
    <v>1801</v>
    <v>1802</v>
    <v>1803</v>
    <v>1804</v>
    <v>China</v>
    <v>1805</v>
    <v>mdp/vdpid/45</v>
  </rv>
  <rv s="2">
    <v>28</v>
    <v>21</v>
    <v>207</v>
    <v>3</v>
    <v>0</v>
    <v>Image of China</v>
  </rv>
  <rv s="0">
    <v>536870912</v>
    <v>Spain</v>
    <v>1baf9d59-f443-e9f4-6e49-de048a073e3f</v>
    <v>en-US</v>
    <v>Map</v>
  </rv>
  <rv s="1">
    <fb>0.52577247440306896</fb>
    <v>23</v>
  </rv>
  <rv s="1">
    <fb>505990</fb>
    <v>24</v>
  </rv>
  <rv s="1">
    <fb>196000</fb>
    <v>24</v>
  </rv>
  <rv s="1">
    <fb>7.9</fb>
    <v>25</v>
  </rv>
  <rv s="1">
    <fb>34</fb>
    <v>26</v>
  </rv>
  <rv s="0">
    <v>536870912</v>
    <v>Madrid</v>
    <v>a497c067-c4c6-4bf4-9a5d-34fd30589bda</v>
    <v>en-US</v>
    <v>Map</v>
  </rv>
  <rv s="1">
    <fb>244002.18</fb>
    <v>24</v>
  </rv>
  <rv s="1">
    <fb>110.96151904206</fb>
    <v>27</v>
  </rv>
  <rv s="1">
    <fb>6.9953624171701497E-3</fb>
    <v>23</v>
  </rv>
  <rv s="1">
    <fb>5355.9870055822103</fb>
    <v>24</v>
  </rv>
  <rv s="1">
    <fb>1.26</fb>
    <v>25</v>
  </rv>
  <rv s="1">
    <fb>0.36936209528965797</fb>
    <v>23</v>
  </rv>
  <rv s="1">
    <fb>72.955546118337793</fb>
    <v>28</v>
  </rv>
  <rv s="1">
    <fb>1394116310768.6299</fb>
    <v>30</v>
  </rv>
  <rv s="1">
    <fb>1.0271029</fb>
    <v>23</v>
  </rv>
  <rv s="1">
    <fb>0.88853009999999999</fb>
    <v>23</v>
  </rv>
  <rv s="2">
    <v>29</v>
    <v>21</v>
    <v>214</v>
    <v>7</v>
    <v>0</v>
    <v>Image of Spain</v>
  </rv>
  <rv s="1">
    <fb>2.5</fb>
    <v>28</v>
  </rv>
  <rv s="0">
    <v>805306368</v>
    <v>Felipe VI (Monarch)</v>
    <v>ec86fb82-ddbc-286a-d1a7-3644682c1efc</v>
    <v>en-US</v>
    <v>Generic</v>
  </rv>
  <rv s="0">
    <v>805306368</v>
    <v>Pedro Sánchez (Prime minister)</v>
    <v>9e0d6cf3-f466-7b6f-0a92-aa23020fc120</v>
    <v>en-US</v>
    <v>Generic</v>
  </rv>
  <rv s="3">
    <v>105</v>
  </rv>
  <rv s="4">
    <v>https://www.bing.com/search?q=spain&amp;form=skydnc</v>
    <v>Learn more on Bing</v>
  </rv>
  <rv s="1">
    <fb>83.334146341463395</fb>
    <v>28</v>
  </rv>
  <rv s="1">
    <fb>797285840000</fb>
    <v>30</v>
  </rv>
  <rv s="1">
    <fb>5.6</fb>
    <v>29</v>
  </rv>
  <rv s="1">
    <fb>0.24229018520000001</fb>
    <v>23</v>
  </rv>
  <rv s="1">
    <fb>3.8723000000000001</fb>
    <v>25</v>
  </rv>
  <rv s="1">
    <fb>47615034</fb>
    <v>24</v>
  </rv>
  <rv s="1">
    <fb>0.23399999999999999</fb>
    <v>23</v>
  </rv>
  <rv s="1">
    <fb>0.254</fb>
    <v>23</v>
  </rv>
  <rv s="1">
    <fb>6.2E-2</fb>
    <v>23</v>
  </rv>
  <rv s="1">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106</v>
  </rv>
  <rv s="1">
    <fb>0.14248211393678101</fb>
    <v>23</v>
  </rv>
  <rv s="1">
    <fb>0.47</fb>
    <v>23</v>
  </rv>
  <rv s="1">
    <fb>0.13958999633789099</fb>
    <v>31</v>
  </rv>
  <rv s="1">
    <fb>37927409</fb>
    <v>24</v>
  </rv>
  <rv s="6">
    <v>#VALUE!</v>
    <v>en-US</v>
    <v>1baf9d59-f443-e9f4-6e49-de048a073e3f</v>
    <v>536870912</v>
    <v>1</v>
    <v>217</v>
    <v>37</v>
    <v>Spain</v>
    <v>19</v>
    <v>20</v>
    <v>Map</v>
    <v>21</v>
    <v>38</v>
    <v>ES</v>
    <v>1809</v>
    <v>1810</v>
    <v>1811</v>
    <v>1812</v>
    <v>1813</v>
    <v>1814</v>
    <v>1815</v>
    <v>1816</v>
    <v>1817</v>
    <v>EUR</v>
    <v>Spain, officially the Kingdom of Spain, is a country in Southwestern Europe with territories in North Africa. Featuring the southernmost point of continental Europe, it is the largest country in Southern Europe and the fourth-most populous ...</v>
    <v>1818</v>
    <v>1819</v>
    <v>1820</v>
    <v>1821</v>
    <v>1292</v>
    <v>1822</v>
    <v>1823</v>
    <v>1824</v>
    <v>1825</v>
    <v>1826</v>
    <v>1814</v>
    <v>1829</v>
    <v>1830</v>
    <v>1831</v>
    <v>1832</v>
    <v>750</v>
    <v>1833</v>
    <v>Spain</v>
    <v>Marcha Real</v>
    <v>270</v>
    <v>Reino de España</v>
    <v>1834</v>
    <v>1835</v>
    <v>1836</v>
    <v>1837</v>
    <v>1838</v>
    <v>33</v>
    <v>930</v>
    <v>1839</v>
    <v>699</v>
    <v>761</v>
    <v>1840</v>
    <v>1859</v>
    <v>1860</v>
    <v>1171</v>
    <v>1861</v>
    <v>1862</v>
    <v>Spain</v>
    <v>1863</v>
    <v>mdp/vdpid/217</v>
  </rv>
  <rv s="2">
    <v>29</v>
    <v>21</v>
    <v>214</v>
    <v>3</v>
    <v>0</v>
    <v>Image of Spain</v>
  </rv>
  <rv s="0">
    <v>536870912</v>
    <v>Fiji</v>
    <v>1e7531ea-2f80-cf66-239a-b27dc04ddd4e</v>
    <v>en-US</v>
    <v>Map</v>
  </rv>
  <rv s="1">
    <fb>0.23262178434592201</fb>
    <v>23</v>
  </rv>
  <rv s="1">
    <fb>18274</fb>
    <v>24</v>
  </rv>
  <rv s="1">
    <fb>21.277000000000001</fb>
    <v>25</v>
  </rv>
  <rv s="1">
    <fb>679</fb>
    <v>26</v>
  </rv>
  <rv s="0">
    <v>536870912</v>
    <v>Suva</v>
    <v>b704f0f6-e1f9-1c45-bd45-fb55dee9d3e5</v>
    <v>en-US</v>
    <v>Map</v>
  </rv>
  <rv s="1">
    <fb>2046.1859999999999</fb>
    <v>24</v>
  </rv>
  <rv s="1">
    <fb>132.297245600612</fb>
    <v>27</v>
  </rv>
  <rv s="1">
    <fb>1.7731018246026999E-2</fb>
    <v>23</v>
  </rv>
  <rv s="1">
    <fb>2.774</fb>
    <v>25</v>
  </rv>
  <rv s="1">
    <fb>0.55941981256627793</fb>
    <v>23</v>
  </rv>
  <rv s="1">
    <fb>0</fb>
    <v>28</v>
  </rv>
  <rv s="1">
    <fb>0.82</fb>
    <v>29</v>
  </rv>
  <rv s="1">
    <fb>5535548972.4125204</fb>
    <v>30</v>
  </rv>
  <rv s="1">
    <fb>1.0643889</fb>
    <v>23</v>
  </rv>
  <rv s="1">
    <fb>0.16136690000000001</fb>
    <v>23</v>
  </rv>
  <rv s="2">
    <v>30</v>
    <v>21</v>
    <v>219</v>
    <v>7</v>
    <v>0</v>
    <v>Image of Fiji</v>
  </rv>
  <rv s="1">
    <fb>21.6</fb>
    <v>28</v>
  </rv>
  <rv s="0">
    <v>805306368</v>
    <v>Naiqama Lalabalavu (President)</v>
    <v>2aba88fb-57f0-f27f-b8f0-6ec5a0e31fa3</v>
    <v>en-US</v>
    <v>Generic</v>
  </rv>
  <rv s="0">
    <v>805306368</v>
    <v>Sitiveni Rabuka (Prime minister)</v>
    <v>8cbb53de-667e-2c2a-15d0-c067672edf35</v>
    <v>en-US</v>
    <v>Generic</v>
  </rv>
  <rv s="0">
    <v>805306368</v>
    <v>Salesi Temo (Chief justice)</v>
    <v>9e981794-d93f-8afd-625a-7439b492bcb8</v>
    <v>en-US</v>
    <v>Generic</v>
  </rv>
  <rv s="3">
    <v>107</v>
  </rv>
  <rv s="4">
    <v>https://www.bing.com/search?q=fiji&amp;form=skydnc</v>
    <v>Learn more on Bing</v>
  </rv>
  <rv s="1">
    <fb>67.340999999999994</fb>
    <v>28</v>
  </rv>
  <rv s="1">
    <fb>34</fb>
    <v>28</v>
  </rv>
  <rv s="1">
    <fb>1.28</fb>
    <v>29</v>
  </rv>
  <rv s="3">
    <v>108</v>
  </rv>
  <rv s="1">
    <fb>0.21413080000000001</fb>
    <v>23</v>
  </rv>
  <rv s="1">
    <fb>0.83740000000000003</fb>
    <v>25</v>
  </rv>
  <rv s="1">
    <fb>929766</fb>
    <v>24</v>
  </rv>
  <rv s="1">
    <fb>0.21299999999999999</fb>
    <v>23</v>
  </rv>
  <rv s="1">
    <fb>0.44700000000000001</fb>
    <v>23</v>
  </rv>
  <rv s="1">
    <fb>3.1E-2</fb>
    <v>23</v>
  </rv>
  <rv s="1">
    <fb>7.4999999999999997E-2</fb>
    <v>23</v>
  </rv>
  <rv s="1">
    <fb>0.576430015563965</fb>
    <v>23</v>
  </rv>
  <rv s="0">
    <v>536870912</v>
    <v>Central Division, Fiji</v>
    <v>bbdd7043-1c11-f3c3-0ef2-27c066fda921</v>
    <v>en-US</v>
    <v>Map</v>
  </rv>
  <rv s="0">
    <v>536870912</v>
    <v>Eastern Division, Fiji</v>
    <v>343070ff-38b8-9270-a138-881ce98add99</v>
    <v>en-US</v>
    <v>Map</v>
  </rv>
  <rv s="0">
    <v>536870912</v>
    <v>Western Division, Fiji</v>
    <v>b02669d6-429e-0673-8796-2e37e1b6d993</v>
    <v>en-US</v>
    <v>Map</v>
  </rv>
  <rv s="0">
    <v>536870912</v>
    <v>Northern Division, Fiji</v>
    <v>ba9161fe-8aee-89ca-70ac-9f43e9ed184f</v>
    <v>en-US</v>
    <v>Map</v>
  </rv>
  <rv s="0">
    <v>536870912</v>
    <v>Rotuma</v>
    <v>b605ba05-20f0-8901-96c7-8f61c4f12c3b</v>
    <v>en-US</v>
    <v>Map</v>
  </rv>
  <rv s="3">
    <v>109</v>
  </rv>
  <rv s="1">
    <fb>0.24186678779757798</fb>
    <v>23</v>
  </rv>
  <rv s="3">
    <v>110</v>
  </rv>
  <rv s="1">
    <fb>0.32100000000000001</fb>
    <v>23</v>
  </rv>
  <rv s="1">
    <fb>4.1009998321533202E-2</fb>
    <v>31</v>
  </rv>
  <rv s="1">
    <fb>505048</fb>
    <v>24</v>
  </rv>
  <rv s="17">
    <v>#VALUE!</v>
    <v>en-US</v>
    <v>1e7531ea-2f80-cf66-239a-b27dc04ddd4e</v>
    <v>536870912</v>
    <v>1</v>
    <v>222</v>
    <v>223</v>
    <v>Fiji</v>
    <v>19</v>
    <v>20</v>
    <v>Map</v>
    <v>21</v>
    <v>224</v>
    <v>FJ</v>
    <v>1867</v>
    <v>1868</v>
    <v>1180</v>
    <v>1869</v>
    <v>1870</v>
    <v>1871</v>
    <v>1872</v>
    <v>1873</v>
    <v>1874</v>
    <v>FJD</v>
    <v>Fiji, officially the Republic of Fiji, is an island country in Melanesia, part of Oceania in the South Pacific Ocean. It lies about 1,100 nautical miles north-northeast of New Zealand. Fiji consists of an archipelago of more than 330 islands—of ...</v>
    <v>1875</v>
    <v>1876</v>
    <v>1877</v>
    <v>1878</v>
    <v>1879</v>
    <v>1880</v>
    <v>1881</v>
    <v>1882</v>
    <v>1883</v>
    <v>1871</v>
    <v>1887</v>
    <v>1888</v>
    <v>1889</v>
    <v>1890</v>
    <v>1891</v>
    <v>Fiji</v>
    <v>God Bless Fiji</v>
    <v>1892</v>
    <v>Republic of Fiji</v>
    <v>1893</v>
    <v>1894</v>
    <v>1895</v>
    <v>1896</v>
    <v>1033</v>
    <v>1897</v>
    <v>1898</v>
    <v>1899</v>
    <v>236</v>
    <v>933</v>
    <v>1900</v>
    <v>1906</v>
    <v>1907</v>
    <v>1908</v>
    <v>1909</v>
    <v>1910</v>
    <v>Fiji</v>
    <v>1911</v>
    <v>mdp/vdpid/78</v>
  </rv>
  <rv s="2">
    <v>30</v>
    <v>21</v>
    <v>219</v>
    <v>3</v>
    <v>0</v>
    <v>Image of Fiji</v>
  </rv>
  <rv s="0">
    <v>536870912</v>
    <v>Morocco</v>
    <v>70f80aeb-dadf-b744-30f3-cea7fe3e7a8f</v>
    <v>en-US</v>
    <v>Map</v>
  </rv>
  <rv s="1">
    <fb>0.68544700873851694</fb>
    <v>23</v>
  </rv>
  <rv s="1">
    <fb>446550</fb>
    <v>24</v>
  </rv>
  <rv s="1">
    <fb>246000</fb>
    <v>24</v>
  </rv>
  <rv s="1">
    <fb>18.937000000000001</fb>
    <v>25</v>
  </rv>
  <rv s="1">
    <fb>212</fb>
    <v>26</v>
  </rv>
  <rv s="0">
    <v>536870912</v>
    <v>Rabat</v>
    <v>c1bdba78-6d2f-350d-fb4e-8a0636bc1a1f</v>
    <v>en-US</v>
    <v>Map</v>
  </rv>
  <rv s="1">
    <fb>61275.57</fb>
    <v>24</v>
  </rv>
  <rv s="1">
    <fb>111.06755821996801</fb>
    <v>27</v>
  </rv>
  <rv s="1">
    <fb>1.9606552057642502E-3</fb>
    <v>23</v>
  </rv>
  <rv s="1">
    <fb>904.442154848276</fb>
    <v>24</v>
  </rv>
  <rv s="1">
    <fb>2.415</fb>
    <v>25</v>
  </rv>
  <rv s="1">
    <fb>0.12601389200089599</fb>
    <v>23</v>
  </rv>
  <rv s="1">
    <fb>88.468862812342195</fb>
    <v>28</v>
  </rv>
  <rv s="1">
    <fb>0.99</fb>
    <v>29</v>
  </rv>
  <rv s="1">
    <fb>118725279596.13</fb>
    <v>30</v>
  </rv>
  <rv s="1">
    <fb>1.1387658000000001</fb>
    <v>23</v>
  </rv>
  <rv s="1">
    <fb>0.35935929999999999</fb>
    <v>23</v>
  </rv>
  <rv s="2">
    <v>31</v>
    <v>21</v>
    <v>226</v>
    <v>7</v>
    <v>0</v>
    <v>Image of Morocco</v>
  </rv>
  <rv s="1">
    <fb>19.2</fb>
    <v>28</v>
  </rv>
  <rv s="0">
    <v>536870912</v>
    <v>Casablanca</v>
    <v>6e0e6ca2-e092-9d0b-f376-e56de22511d6</v>
    <v>en-US</v>
    <v>Map</v>
  </rv>
  <rv s="0">
    <v>805306368</v>
    <v>Mohammed VI of Morocco (King)</v>
    <v>a8b6463e-cb6c-6fcd-25da-aea08a8138f6</v>
    <v>en-US</v>
    <v>Generic</v>
  </rv>
  <rv s="0">
    <v>805306368</v>
    <v>Aziz Akhannouch (Prime minister)</v>
    <v>0857cab8-6f91-95d6-9379-d47107139224</v>
    <v>en-US</v>
    <v>Generic</v>
  </rv>
  <rv s="3">
    <v>111</v>
  </rv>
  <rv s="4">
    <v>https://www.bing.com/search?q=morocco&amp;form=skydnc</v>
    <v>Learn more on Bing</v>
  </rv>
  <rv s="1">
    <fb>76.453000000000003</fb>
    <v>28</v>
  </rv>
  <rv s="1">
    <fb>65415260000</fb>
    <v>30</v>
  </rv>
  <rv s="1">
    <fb>70</fb>
    <v>28</v>
  </rv>
  <rv s="1">
    <fb>1.6</fb>
    <v>29</v>
  </rv>
  <rv s="3">
    <v>112</v>
  </rv>
  <rv s="1">
    <fb>0.53084071929999999</fb>
    <v>23</v>
  </rv>
  <rv s="1">
    <fb>0.72729999999999995</fb>
    <v>25</v>
  </rv>
  <rv s="1">
    <fb>37457971</fb>
    <v>24</v>
  </rv>
  <rv s="1">
    <fb>0.20899999999999999</fb>
    <v>23</v>
  </rv>
  <rv s="1">
    <fb>0.14699999999999999</fb>
    <v>23</v>
  </rv>
  <rv s="1">
    <fb>0.45305999755859405</fb>
    <v>23</v>
  </rv>
  <rv s="0">
    <v>536870912</v>
    <v>Tangier-Tetouan-Al Hoceima</v>
    <v>b2b988dd-fd79-ea5e-aab0-e61172e8563a</v>
    <v>en-US</v>
    <v>Map</v>
  </rv>
  <rv s="0">
    <v>536870912</v>
    <v>Oriental</v>
    <v>ede82c2d-4963-5eaa-dd72-96771e2b4ad7</v>
    <v>en-US</v>
    <v>Map</v>
  </rv>
  <rv s="0">
    <v>536870912</v>
    <v>Fez-Meknes</v>
    <v>1796453a-bad4-8b50-6a38-ec8e50763de3</v>
    <v>en-US</v>
    <v>Map</v>
  </rv>
  <rv s="0">
    <v>536870912</v>
    <v>Rabat-Salé-Kénitra</v>
    <v>d608a3a6-e00a-255a-7bb0-4c932d8ac70e</v>
    <v>en-US</v>
    <v>Map</v>
  </rv>
  <rv s="0">
    <v>536870912</v>
    <v>Béni Mellal-Khénifra</v>
    <v>63a560e7-a92b-91a4-d450-0070c6d646ed</v>
    <v>en-US</v>
    <v>Map</v>
  </rv>
  <rv s="0">
    <v>536870912</v>
    <v>Casablanca-Settat</v>
    <v>0a1da02f-c2ab-cd63-4513-0ad53a204add</v>
    <v>en-US</v>
    <v>Map</v>
  </rv>
  <rv s="0">
    <v>536870912</v>
    <v>Marrakesh–Safi</v>
    <v>72062986-b181-1c91-77d8-f1c50d8e1167</v>
    <v>en-US</v>
    <v>Map</v>
  </rv>
  <rv s="0">
    <v>536870912</v>
    <v>Drâa-Tafilalet</v>
    <v>a5af6ee0-6211-7bcb-e47f-24318991bc0b</v>
    <v>en-US</v>
    <v>Map</v>
  </rv>
  <rv s="0">
    <v>536870912</v>
    <v>Souss-Massa</v>
    <v>79a4822d-1223-a9ce-9ec7-82f8f2f4efb9</v>
    <v>en-US</v>
    <v>Map</v>
  </rv>
  <rv s="0">
    <v>536870912</v>
    <v>Guelmim-Oued Noun</v>
    <v>f0a8c051-b07e-0e55-2dd7-9c218b5ead01</v>
    <v>en-US</v>
    <v>Map</v>
  </rv>
  <rv s="0">
    <v>536870912</v>
    <v>Laâyoune-Sakia El Hamra</v>
    <v>dc6d2a0d-e8e8-c9ba-7064-112a1b9c2b06</v>
    <v>en-US</v>
    <v>Map</v>
  </rv>
  <rv s="0">
    <v>536870912</v>
    <v>Dakhla-Oued Ed-Dahab</v>
    <v>9b6060ab-7891-e388-112f-5d61ad7cdad5</v>
    <v>en-US</v>
    <v>Map</v>
  </rv>
  <rv s="3">
    <v>113</v>
  </rv>
  <rv s="1">
    <fb>0.21906614484662298</fb>
    <v>23</v>
  </rv>
  <rv s="3">
    <v>114</v>
  </rv>
  <rv s="1">
    <fb>0.45799999999999996</fb>
    <v>23</v>
  </rv>
  <rv s="1">
    <fb>9.0190000534057596E-2</fb>
    <v>31</v>
  </rv>
  <rv s="1">
    <fb>22975026</fb>
    <v>24</v>
  </rv>
  <rv s="6">
    <v>#VALUE!</v>
    <v>en-US</v>
    <v>70f80aeb-dadf-b744-30f3-cea7fe3e7a8f</v>
    <v>536870912</v>
    <v>1</v>
    <v>229</v>
    <v>37</v>
    <v>Morocco</v>
    <v>19</v>
    <v>20</v>
    <v>Map</v>
    <v>21</v>
    <v>230</v>
    <v>MA</v>
    <v>1915</v>
    <v>1916</v>
    <v>1917</v>
    <v>1918</v>
    <v>1919</v>
    <v>1920</v>
    <v>1921</v>
    <v>1922</v>
    <v>1923</v>
    <v>MAD</v>
    <v>Morocco, officially the Kingdom of Morocco, is a country in the Maghreb region of North Africa. It overlooks the Mediterranean Sea to the north and the Atlantic Ocean to the west, and has land borders with Algeria to the east, and the disputed ...</v>
    <v>1924</v>
    <v>1925</v>
    <v>1926</v>
    <v>1927</v>
    <v>1928</v>
    <v>1929</v>
    <v>1930</v>
    <v>1931</v>
    <v>1932</v>
    <v>1933</v>
    <v>1934</v>
    <v>1937</v>
    <v>1938</v>
    <v>1939</v>
    <v>1940</v>
    <v>1941</v>
    <v>1942</v>
    <v>Morocco</v>
    <v>Cherifian Anthem</v>
    <v>1943</v>
    <v>Kongeriget Marokko</v>
    <v>1944</v>
    <v>1945</v>
    <v>1946</v>
    <v>1947</v>
    <v>1100</v>
    <v>1861</v>
    <v>1311</v>
    <v>1685</v>
    <v>1767</v>
    <v>1948</v>
    <v>1949</v>
    <v>1962</v>
    <v>1963</v>
    <v>1964</v>
    <v>1965</v>
    <v>1966</v>
    <v>Morocco</v>
    <v>1967</v>
    <v>mdp/vdpid/159</v>
  </rv>
  <rv s="2">
    <v>31</v>
    <v>21</v>
    <v>226</v>
    <v>3</v>
    <v>0</v>
    <v>Image of Morocco</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0.58931054038338704</fb>
    <v>23</v>
  </rv>
  <rv s="1">
    <fb>59.1075326389753</fb>
    <v>28</v>
  </rv>
  <rv s="1">
    <fb>1.02</fb>
    <v>29</v>
  </rv>
  <rv s="1">
    <fb>1839758040765.6201</fb>
    <v>30</v>
  </rv>
  <rv s="1">
    <fb>1.1544783999999999</fb>
    <v>23</v>
  </rv>
  <rv s="1">
    <fb>0.513436</fb>
    <v>23</v>
  </rv>
  <rv s="2">
    <v>32</v>
    <v>21</v>
    <v>232</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115</v>
  </rv>
  <rv s="4">
    <v>https://www.bing.com/search?q=brazil&amp;form=skydnc</v>
    <v>Learn more on Bing</v>
  </rv>
  <rv s="1">
    <fb>75.671999999999997</fb>
    <v>28</v>
  </rv>
  <rv s="1">
    <fb>1187361690000</fb>
    <v>30</v>
  </rv>
  <rv s="1">
    <fb>60</fb>
    <v>28</v>
  </rv>
  <rv s="1">
    <fb>0.28289823089999999</fb>
    <v>23</v>
  </rv>
  <rv s="1">
    <fb>2.1499000000000001</fb>
    <v>25</v>
  </rv>
  <rv s="1">
    <fb>215313498</fb>
    <v>24</v>
  </rv>
  <rv s="1">
    <fb>0.192</fb>
    <v>23</v>
  </rv>
  <rv s="1">
    <fb>0.42499999999999999</fb>
    <v>23</v>
  </rv>
  <rv s="1">
    <fb>0.58399999999999996</fb>
    <v>23</v>
  </rv>
  <rv s="1">
    <fb>0.01</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116</v>
  </rv>
  <rv s="1">
    <fb>0.14178605589771201</fb>
    <v>23</v>
  </rv>
  <rv s="3">
    <v>117</v>
  </rv>
  <rv s="1">
    <fb>0.65099999999999991</fb>
    <v>23</v>
  </rv>
  <rv s="1">
    <fb>0.12083000183105501</fb>
    <v>31</v>
  </rv>
  <rv s="1">
    <fb>183241641</fb>
    <v>24</v>
  </rv>
  <rv s="6">
    <v>#VALUE!</v>
    <v>en-US</v>
    <v>a828cf41-b938-49fe-7986-4b336618d413</v>
    <v>536870912</v>
    <v>1</v>
    <v>235</v>
    <v>37</v>
    <v>Brazil</v>
    <v>19</v>
    <v>20</v>
    <v>Map</v>
    <v>21</v>
    <v>236</v>
    <v>BR</v>
    <v>1971</v>
    <v>1972</v>
    <v>1973</v>
    <v>1974</v>
    <v>1975</v>
    <v>1976</v>
    <v>1977</v>
    <v>1978</v>
    <v>1979</v>
    <v>BRL</v>
    <v>Brazil, officially the Federative Republic of Brazil, is the largest and easternmost country in South America. It is the world's fifth-largest country by area and the seventh largest by population, with over 212 million people. The country is a ...</v>
    <v>1980</v>
    <v>736</v>
    <v>1981</v>
    <v>1982</v>
    <v>1983</v>
    <v>1984</v>
    <v>1985</v>
    <v>1986</v>
    <v>1987</v>
    <v>1988</v>
    <v>1989</v>
    <v>1992</v>
    <v>1993</v>
    <v>1994</v>
    <v>1995</v>
    <v>1996</v>
    <v>161</v>
    <v>Brazil</v>
    <v>Brazilian National Anthem</v>
    <v>802</v>
    <v>República Federativa do Brasil</v>
    <v>1997</v>
    <v>1998</v>
    <v>1999</v>
    <v>2000</v>
    <v>2001</v>
    <v>2002</v>
    <v>2003</v>
    <v>1898</v>
    <v>346</v>
    <v>1147</v>
    <v>2004</v>
    <v>2032</v>
    <v>2033</v>
    <v>2034</v>
    <v>2035</v>
    <v>2036</v>
    <v>Brazil</v>
    <v>2037</v>
    <v>mdp/vdpid/32</v>
  </rv>
  <rv s="2">
    <v>32</v>
    <v>21</v>
    <v>232</v>
    <v>3</v>
    <v>0</v>
    <v>Image of Brazil</v>
  </rv>
  <rv s="0">
    <v>536870912</v>
    <v>Costa Rica</v>
    <v>f5e3b04e-cbe6-130c-d1c8-899095cd5757</v>
    <v>en-US</v>
    <v>Map</v>
  </rv>
  <rv s="1">
    <fb>0.34459459459459502</fb>
    <v>23</v>
  </rv>
  <rv s="1">
    <fb>51179.92</fb>
    <v>24</v>
  </rv>
  <rv s="1">
    <fb>10000</fb>
    <v>24</v>
  </rv>
  <rv s="1">
    <fb>13.971</fb>
    <v>25</v>
  </rv>
  <rv s="1">
    <fb>506</fb>
    <v>26</v>
  </rv>
  <rv s="0">
    <v>536870912</v>
    <v>San José, Costa Rica</v>
    <v>b2b18307-dcfe-e3ce-b41f-986fcc0a9689</v>
    <v>en-US</v>
    <v>Map</v>
  </rv>
  <rv s="1">
    <fb>8023.3959999999997</fb>
    <v>24</v>
  </rv>
  <rv s="1">
    <fb>128.845869400021</fb>
    <v>27</v>
  </rv>
  <rv s="1">
    <fb>2.0962025659294899E-2</fb>
    <v>23</v>
  </rv>
  <rv s="1">
    <fb>1942.48816990297</fb>
    <v>24</v>
  </rv>
  <rv s="1">
    <fb>1.754</fb>
    <v>25</v>
  </rv>
  <rv s="1">
    <fb>0.54567174915234606</fb>
    <v>23</v>
  </rv>
  <rv s="1">
    <fb>49.880272733962499</fb>
    <v>28</v>
  </rv>
  <rv s="1">
    <fb>0.98</fb>
    <v>29</v>
  </rv>
  <rv s="1">
    <fb>61773944173.673599</fb>
    <v>30</v>
  </rv>
  <rv s="1">
    <fb>1.1329429</fb>
    <v>23</v>
  </rv>
  <rv s="1">
    <fb>0.5520794</fb>
    <v>23</v>
  </rv>
  <rv s="2">
    <v>33</v>
    <v>21</v>
    <v>238</v>
    <v>7</v>
    <v>0</v>
    <v>Image of Costa Rica</v>
  </rv>
  <rv s="1">
    <fb>7.6</fb>
    <v>28</v>
  </rv>
  <rv s="0">
    <v>805306368</v>
    <v>Rodrigo Chaves Robles (President)</v>
    <v>8dc4dae4-6642-4b4c-d583-b69f5f91f608</v>
    <v>en-US</v>
    <v>Generic</v>
  </rv>
  <rv s="3">
    <v>118</v>
  </rv>
  <rv s="4">
    <v>https://www.bing.com/search?q=costa+rica&amp;form=skydnc</v>
    <v>Learn more on Bing</v>
  </rv>
  <rv s="1">
    <fb>80.094999999999999</fb>
    <v>28</v>
  </rv>
  <rv s="1">
    <fb>2217350000</fb>
    <v>30</v>
  </rv>
  <rv s="1">
    <fb>27</fb>
    <v>28</v>
  </rv>
  <rv s="1">
    <fb>1.84</fb>
    <v>29</v>
  </rv>
  <rv s="3">
    <v>119</v>
  </rv>
  <rv s="1">
    <fb>0.21485754409999999</fb>
    <v>23</v>
  </rv>
  <rv s="1">
    <fb>2.8938999999999999</fb>
    <v>25</v>
  </rv>
  <rv s="1">
    <fb>5180829</fb>
    <v>24</v>
  </rv>
  <rv s="1">
    <fb>0.53299999999999992</fb>
    <v>23</v>
  </rv>
  <rv s="1">
    <fb>1.4999999999999999E-2</fb>
    <v>23</v>
  </rv>
  <rv s="1">
    <fb>4.2999999999999997E-2</fb>
    <v>23</v>
  </rv>
  <rv s="1">
    <fb>8.5000000000000006E-2</fb>
    <v>23</v>
  </rv>
  <rv s="1">
    <fb>0.62098999023437496</fb>
    <v>23</v>
  </rv>
  <rv s="0">
    <v>536870912</v>
    <v>Alajuela Province</v>
    <v>d852ccc7-833e-944a-ddce-9ca14d5ffd13</v>
    <v>en-US</v>
    <v>Map</v>
  </rv>
  <rv s="0">
    <v>536870912</v>
    <v>Cartago Province</v>
    <v>e0d48e76-9fcf-d96c-dade-3a266652cce4</v>
    <v>en-US</v>
    <v>Map</v>
  </rv>
  <rv s="0">
    <v>536870912</v>
    <v>Guanacaste Province</v>
    <v>4d846351-04ca-1740-4d47-7258f4be3d9f</v>
    <v>en-US</v>
    <v>Map</v>
  </rv>
  <rv s="0">
    <v>536870912</v>
    <v>Heredia Province</v>
    <v>6dcef63a-cb12-0db8-3877-58ca68806818</v>
    <v>en-US</v>
    <v>Map</v>
  </rv>
  <rv s="0">
    <v>536870912</v>
    <v>Limón Province</v>
    <v>703154f4-49e4-ccb0-f9c6-d52a73875ac7</v>
    <v>en-US</v>
    <v>Map</v>
  </rv>
  <rv s="0">
    <v>536870912</v>
    <v>Puntarenas Province</v>
    <v>31e6881a-b4f6-8725-2fb1-825ad41306ef</v>
    <v>en-US</v>
    <v>Map</v>
  </rv>
  <rv s="0">
    <v>536870912</v>
    <v>San José Province</v>
    <v>8042d242-4799-87de-29ba-5051712f3715</v>
    <v>en-US</v>
    <v>Map</v>
  </rv>
  <rv s="3">
    <v>120</v>
  </rv>
  <rv s="1">
    <fb>0.13588420861398298</fb>
    <v>23</v>
  </rv>
  <rv s="3">
    <v>121</v>
  </rv>
  <rv s="1">
    <fb>0.58299999999999996</fb>
    <v>23</v>
  </rv>
  <rv s="1">
    <fb>0.11854000091552701</fb>
    <v>31</v>
  </rv>
  <rv s="1">
    <fb>4041885</fb>
    <v>24</v>
  </rv>
  <rv s="6">
    <v>#VALUE!</v>
    <v>en-US</v>
    <v>f5e3b04e-cbe6-130c-d1c8-899095cd5757</v>
    <v>536870912</v>
    <v>1</v>
    <v>241</v>
    <v>37</v>
    <v>Costa Rica</v>
    <v>19</v>
    <v>20</v>
    <v>Map</v>
    <v>21</v>
    <v>242</v>
    <v>CR</v>
    <v>2041</v>
    <v>2042</v>
    <v>2043</v>
    <v>2044</v>
    <v>2045</v>
    <v>2046</v>
    <v>2047</v>
    <v>2048</v>
    <v>2049</v>
    <v>CRC</v>
    <v>Costa Rica, officially the Republic of Costa Rica, is a country in the Central American region of North America. It borders Nicaragua to the north, the Caribbean Sea to the northeast, Panama to the southeast, and the Pacific Ocean to the ...</v>
    <v>2050</v>
    <v>2051</v>
    <v>2052</v>
    <v>2053</v>
    <v>2054</v>
    <v>2055</v>
    <v>2056</v>
    <v>2057</v>
    <v>2058</v>
    <v>2059</v>
    <v>2046</v>
    <v>2061</v>
    <v>2062</v>
    <v>2063</v>
    <v>2064</v>
    <v>2065</v>
    <v>2066</v>
    <v>Costa Rica</v>
    <v>National anthem of Costa Rica</v>
    <v>2067</v>
    <v>Costa Rica</v>
    <v>2068</v>
    <v>2069</v>
    <v>2070</v>
    <v>1947</v>
    <v>1533</v>
    <v>2071</v>
    <v>2072</v>
    <v>2073</v>
    <v>2074</v>
    <v>347</v>
    <v>2075</v>
    <v>2083</v>
    <v>2084</v>
    <v>2085</v>
    <v>2086</v>
    <v>2087</v>
    <v>Costa Rica</v>
    <v>2088</v>
    <v>mdp/vdpid/54</v>
  </rv>
  <rv s="2">
    <v>33</v>
    <v>21</v>
    <v>238</v>
    <v>3</v>
    <v>0</v>
    <v>Image of Costa Rica</v>
  </rv>
  <rv s="0">
    <v>536870912</v>
    <v>Republic of Ireland</v>
    <v>77f28672-5669-4775-a58a-b62b17779010</v>
    <v>en-US</v>
    <v>Map</v>
  </rv>
  <rv s="1">
    <fb>0.64537668747278298</fb>
    <v>23</v>
  </rv>
  <rv s="1">
    <fb>69797</fb>
    <v>24</v>
  </rv>
  <rv s="1">
    <fb>12.5</fb>
    <v>25</v>
  </rv>
  <rv s="1">
    <fb>353</fb>
    <v>26</v>
  </rv>
  <rv s="0">
    <v>536870912</v>
    <v>Dublin</v>
    <v>7e7d2832-97c8-afa4-d282-865c20a549c9</v>
    <v>en-US</v>
    <v>Map</v>
  </rv>
  <rv s="1">
    <fb>37711.428</fb>
    <v>24</v>
  </rv>
  <rv s="1">
    <fb>106.584326346003</fb>
    <v>27</v>
  </rv>
  <rv s="1">
    <fb>9.3904448105434097E-3</fb>
    <v>23</v>
  </rv>
  <rv s="1">
    <fb>5672.0641341079599</fb>
    <v>24</v>
  </rv>
  <rv s="1">
    <fb>1.75</fb>
    <v>25</v>
  </rv>
  <rv s="1">
    <fb>0.110277255364644</fb>
    <v>23</v>
  </rv>
  <rv s="1">
    <fb>85.342819766444293</fb>
    <v>28</v>
  </rv>
  <rv s="1">
    <fb>1.37</fb>
    <v>29</v>
  </rv>
  <rv s="1">
    <fb>388698711348.15601</fb>
    <v>30</v>
  </rv>
  <rv s="1">
    <fb>1.0085278</fb>
    <v>23</v>
  </rv>
  <rv s="1">
    <fb>0.7778062</fb>
    <v>23</v>
  </rv>
  <rv s="2">
    <v>34</v>
    <v>21</v>
    <v>244</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122</v>
  </rv>
  <rv s="4">
    <v>https://www.bing.com/search?q=republic+of+ireland&amp;form=skydnc</v>
    <v>Learn more on Bing</v>
  </rv>
  <rv s="1">
    <fb>82.256097560975604</fb>
    <v>28</v>
  </rv>
  <rv s="1">
    <fb>110154370000</fb>
    <v>30</v>
  </rv>
  <rv s="1">
    <fb>10.79</fb>
    <v>29</v>
  </rv>
  <rv s="3">
    <v>123</v>
  </rv>
  <rv s="1">
    <fb>0.15164452009999999</fb>
    <v>23</v>
  </rv>
  <rv s="1">
    <fb>3.3125</fb>
    <v>25</v>
  </rv>
  <rv s="1">
    <fb>5086988</fb>
    <v>24</v>
  </rv>
  <rv s="1">
    <fb>0.22</fb>
    <v>23</v>
  </rv>
  <rv s="1">
    <fb>0.41200000000000003</fb>
    <v>23</v>
  </rv>
  <rv s="1">
    <fb>7.9000000000000001E-2</fb>
    <v>23</v>
  </rv>
  <rv s="1">
    <fb>0.126</fb>
    <v>23</v>
  </rv>
  <rv s="1">
    <fb>0.62067001342773398</fb>
    <v>23</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124</v>
  </rv>
  <rv s="1">
    <fb>0.18262353633181699</fb>
    <v>23</v>
  </rv>
  <rv s="3">
    <v>125</v>
  </rv>
  <rv s="1">
    <fb>0.26100000000000001</fb>
    <v>23</v>
  </rv>
  <rv s="1">
    <fb>4.9279999732971203E-2</fb>
    <v>31</v>
  </rv>
  <rv s="1">
    <fb>3133123</fb>
    <v>24</v>
  </rv>
  <rv s="18">
    <v>#VALUE!</v>
    <v>en-US</v>
    <v>77f28672-5669-4775-a58a-b62b17779010</v>
    <v>536870912</v>
    <v>1</v>
    <v>247</v>
    <v>248</v>
    <v>Republic of Ireland</v>
    <v>19</v>
    <v>20</v>
    <v>Map</v>
    <v>21</v>
    <v>249</v>
    <v>2092</v>
    <v>2093</v>
    <v>1600</v>
    <v>2094</v>
    <v>2095</v>
    <v>2096</v>
    <v>2097</v>
    <v>2098</v>
    <v>2099</v>
    <v>EUR</v>
    <v>Ireland, also known as the Republic of Ireland, is a country in Northwestern Europe consisting of 26 of the 32 counties of the island of Ireland, with a population of about 5.4 million. Its capital and largest city is Dublin, on the eastern side ...</v>
    <v>2100</v>
    <v>2101</v>
    <v>2102</v>
    <v>2103</v>
    <v>2104</v>
    <v>2105</v>
    <v>2106</v>
    <v>2107</v>
    <v>2108</v>
    <v>680</v>
    <v>2096</v>
    <v>2112</v>
    <v>2113</v>
    <v>2114</v>
    <v>2115</v>
    <v>1526</v>
    <v>2116</v>
    <v>Republic of Ireland</v>
    <v>Amhrán na bhFiann</v>
    <v>2117</v>
    <v>Ireland</v>
    <v>2118</v>
    <v>2119</v>
    <v>2120</v>
    <v>2121</v>
    <v>108</v>
    <v>2122</v>
    <v>1898</v>
    <v>2123</v>
    <v>2124</v>
    <v>1687</v>
    <v>2125</v>
    <v>2152</v>
    <v>2153</v>
    <v>2154</v>
    <v>2155</v>
    <v>2156</v>
    <v>Republic of Ireland</v>
    <v>2157</v>
    <v>mdp/vdpid/68</v>
  </rv>
  <rv s="2">
    <v>34</v>
    <v>21</v>
    <v>244</v>
    <v>3</v>
    <v>0</v>
    <v>Image of Republic of Ireland</v>
  </rv>
  <rv s="0">
    <v>536870912</v>
    <v>Tanzania</v>
    <v>2cfae8b0-3beb-e190-7019-29edde94e3e0</v>
    <v>en-US</v>
    <v>Map</v>
  </rv>
  <rv s="1">
    <fb>0.44761797245427898</fb>
    <v>23</v>
  </rv>
  <rv s="1">
    <fb>947303</fb>
    <v>24</v>
  </rv>
  <rv s="1">
    <fb>28000</fb>
    <v>24</v>
  </rv>
  <rv s="1">
    <fb>36.700000000000003</fb>
    <v>25</v>
  </rv>
  <rv s="1">
    <fb>255</fb>
    <v>26</v>
  </rv>
  <rv s="0">
    <v>536870912</v>
    <v>Dodoma</v>
    <v>a336fd71-199e-7557-a105-dd368f3c8210</v>
    <v>en-US</v>
    <v>Map</v>
  </rv>
  <rv s="1">
    <fb>11972.754999999999</fb>
    <v>24</v>
  </rv>
  <rv s="1">
    <fb>187.430158933386</fb>
    <v>27</v>
  </rv>
  <rv s="1">
    <fb>3.4642805799902601E-2</fb>
    <v>23</v>
  </rv>
  <rv s="1">
    <fb>103.68331576521599</fb>
    <v>24</v>
  </rv>
  <rv s="1">
    <fb>4.8920000000000003</fb>
    <v>25</v>
  </rv>
  <rv s="1">
    <fb>0.51578234364416309</fb>
    <v>23</v>
  </rv>
  <rv s="1">
    <fb>14.380616951892099</fb>
    <v>28</v>
  </rv>
  <rv s="1">
    <fb>63177068174.549004</fb>
    <v>30</v>
  </rv>
  <rv s="1">
    <fb>0.94168689999999999</fb>
    <v>23</v>
  </rv>
  <rv s="1">
    <fb>4.0101600000000001E-2</fb>
    <v>23</v>
  </rv>
  <rv s="2">
    <v>35</v>
    <v>21</v>
    <v>251</v>
    <v>7</v>
    <v>0</v>
    <v>Image of Tanzania</v>
  </rv>
  <rv s="1">
    <fb>37.6</fb>
    <v>28</v>
  </rv>
  <rv s="0">
    <v>536870912</v>
    <v>Dar es Salaam</v>
    <v>b834f4ed-c3b3-2ad3-425b-36a4be604716</v>
    <v>en-US</v>
    <v>Map</v>
  </rv>
  <rv s="0">
    <v>805306368</v>
    <v>Samia Suluhu Hassan (President)</v>
    <v>6b384cc1-95e5-4433-9157-873daa3a373c</v>
    <v>en-US</v>
    <v>Generic</v>
  </rv>
  <rv s="0">
    <v>805306368</v>
    <v>Emmanuel Nchimbi (Vice president)</v>
    <v>1da7b233-5eff-4fb0-b7f0-a388fe2d511c</v>
    <v>en-US</v>
    <v>Generic</v>
  </rv>
  <rv s="0">
    <v>805306368</v>
    <v>Mwigulu Nchemba (Prime minister)</v>
    <v>dfd86648-8c5e-450f-87bb-a392faddb48f</v>
    <v>en-US</v>
    <v>Generic</v>
  </rv>
  <rv s="0">
    <v>805306368</v>
    <v>Mussa Zungu (Speaker)</v>
    <v>802a2933-8687-4a8d-95bc-e7ddb0692ee4</v>
    <v>en-US</v>
    <v>Generic</v>
  </rv>
  <rv s="0">
    <v>805306368</v>
    <v>George Mcheche Masaju (Chief justice)</v>
    <v>cd65c9df-13ad-1b2d-9543-12d09507d74d</v>
    <v>en-US</v>
    <v>Generic</v>
  </rv>
  <rv s="3">
    <v>126</v>
  </rv>
  <rv s="4">
    <v>https://www.bing.com/search?q=tanzania&amp;form=skydnc</v>
    <v>Learn more on Bing</v>
  </rv>
  <rv s="1">
    <fb>65.015000000000001</fb>
    <v>28</v>
  </rv>
  <rv s="1">
    <fb>398100000</fb>
    <v>30</v>
  </rv>
  <rv s="1">
    <fb>524</fb>
    <v>28</v>
  </rv>
  <rv s="1">
    <fb>0.09</fb>
    <v>29</v>
  </rv>
  <rv s="3">
    <v>127</v>
  </rv>
  <rv s="1">
    <fb>0.26149116560000002</fb>
    <v>23</v>
  </rv>
  <rv s="1">
    <fb>1.4E-2</fb>
    <v>25</v>
  </rv>
  <rv s="1">
    <fb>69145464</fb>
    <v>24</v>
  </rv>
  <rv s="1">
    <fb>0.33100000000000002</fb>
    <v>23</v>
  </rv>
  <rv s="1">
    <fb>0.48100000000000004</fb>
    <v>23</v>
  </rv>
  <rv s="1">
    <fb>6.9000000000000006E-2</fb>
    <v>23</v>
  </rv>
  <rv s="1">
    <fb>0.105</fb>
    <v>23</v>
  </rv>
  <rv s="1">
    <fb>0.83412002563476606</fb>
    <v>23</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Pemba North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128</v>
  </rv>
  <rv s="1">
    <fb>0.11493954613651799</fb>
    <v>23</v>
  </rv>
  <rv s="3">
    <v>129</v>
  </rv>
  <rv s="1">
    <fb>0.43799999999999994</fb>
    <v>23</v>
  </rv>
  <rv s="1">
    <fb>1.9800000190734902E-2</fb>
    <v>31</v>
  </rv>
  <rv s="1">
    <fb>20011885</fb>
    <v>24</v>
  </rv>
  <rv s="6">
    <v>#VALUE!</v>
    <v>en-US</v>
    <v>2cfae8b0-3beb-e190-7019-29edde94e3e0</v>
    <v>536870912</v>
    <v>1</v>
    <v>254</v>
    <v>37</v>
    <v>Tanzania</v>
    <v>19</v>
    <v>20</v>
    <v>Map</v>
    <v>21</v>
    <v>255</v>
    <v>TZ</v>
    <v>2161</v>
    <v>2162</v>
    <v>2163</v>
    <v>2164</v>
    <v>2165</v>
    <v>2166</v>
    <v>2167</v>
    <v>2168</v>
    <v>2169</v>
    <v>TZS</v>
    <v>Tanzania, officially the United Republic of Tanzania, is a country in East Africa within the African Great Lakes region. It is bordered by Uganda to the northwest, Kenya to the northeast, the Indian Ocean to the east, Mozambique and Malawi to ...</v>
    <v>2170</v>
    <v>2171</v>
    <v>2172</v>
    <v>2173</v>
    <v>1758</v>
    <v>2174</v>
    <v>2175</v>
    <v>2176</v>
    <v>2177</v>
    <v>2178</v>
    <v>2179</v>
    <v>2185</v>
    <v>2186</v>
    <v>2187</v>
    <v>2188</v>
    <v>2189</v>
    <v>2190</v>
    <v>Tanzania</v>
    <v>Mungu ibariki Afrika</v>
    <v>2191</v>
    <v>République unie de Tanzanie</v>
    <v>2192</v>
    <v>2193</v>
    <v>2194</v>
    <v>463</v>
    <v>2195</v>
    <v>2196</v>
    <v>1254</v>
    <v>2197</v>
    <v>2198</v>
    <v>1536</v>
    <v>2199</v>
    <v>2235</v>
    <v>2236</v>
    <v>2237</v>
    <v>2238</v>
    <v>2239</v>
    <v>Tanzania</v>
    <v>2240</v>
    <v>mdp/vdpid/239</v>
  </rv>
  <rv s="2">
    <v>35</v>
    <v>21</v>
    <v>251</v>
    <v>3</v>
    <v>0</v>
    <v>Image of Tanzania</v>
  </rv>
  <rv s="0">
    <v>536870912</v>
    <v>Algeria</v>
    <v>9670a4ec-16dd-f8c8-9fa8-4a541682532b</v>
    <v>en-US</v>
    <v>Map</v>
  </rv>
  <rv s="1">
    <fb>0.17365539151523698</fb>
    <v>23</v>
  </rv>
  <rv s="1">
    <fb>2381741</fb>
    <v>24</v>
  </rv>
  <rv s="1">
    <fb>317000</fb>
    <v>24</v>
  </rv>
  <rv s="1">
    <fb>24.282</fb>
    <v>25</v>
  </rv>
  <rv s="1">
    <fb>213</fb>
    <v>26</v>
  </rv>
  <rv s="0">
    <v>536870912</v>
    <v>Algiers</v>
    <v>4ae67151-d610-04af-dcbe-ab5836a4ec9a</v>
    <v>en-US</v>
    <v>Map</v>
  </rv>
  <rv s="1">
    <fb>150005.96900000001</fb>
    <v>24</v>
  </rv>
  <rv s="1">
    <fb>151.36166776774601</fb>
    <v>27</v>
  </rv>
  <rv s="1">
    <fb>1.95176821052894E-2</fb>
    <v>23</v>
  </rv>
  <rv s="1">
    <fb>1362.87191909646</fb>
    <v>24</v>
  </rv>
  <rv s="1">
    <fb>3.0230000000000001</fb>
    <v>25</v>
  </rv>
  <rv s="1">
    <fb>8.2443926523715402E-3</fb>
    <v>23</v>
  </rv>
  <rv s="1">
    <fb>99.977916720160493</fb>
    <v>28</v>
  </rv>
  <rv s="1">
    <fb>0.28000000000000003</fb>
    <v>29</v>
  </rv>
  <rv s="1">
    <fb>169988236398.12601</fb>
    <v>30</v>
  </rv>
  <rv s="1">
    <fb>1.0988282</fb>
    <v>23</v>
  </rv>
  <rv s="1">
    <fb>0.51365669999999997</fb>
    <v>23</v>
  </rv>
  <rv s="2">
    <v>36</v>
    <v>21</v>
    <v>257</v>
    <v>7</v>
    <v>0</v>
    <v>Image of Algeria</v>
  </rv>
  <rv s="1">
    <fb>20.100000000000001</fb>
    <v>28</v>
  </rv>
  <rv s="0">
    <v>805306368</v>
    <v>Abdelmadjid Tebboune (President)</v>
    <v>436c70fd-cb2e-c836-8892-66d5579a3e0d</v>
    <v>en-US</v>
    <v>Generic</v>
  </rv>
  <rv s="0">
    <v>805306368</v>
    <v>Sifi Ghrieb (Prime minister)</v>
    <v>f86e9d8d-d0c8-bbd3-cffc-f0a66417a2e9</v>
    <v>en-US</v>
    <v>Generic</v>
  </rv>
  <rv s="3">
    <v>130</v>
  </rv>
  <rv s="4">
    <v>https://www.bing.com/search?q=algeria&amp;form=skydnc</v>
    <v>Learn more on Bing</v>
  </rv>
  <rv s="1">
    <fb>76.692999999999998</fb>
    <v>28</v>
  </rv>
  <rv s="1">
    <fb>371418617.76844501</fb>
    <v>30</v>
  </rv>
  <rv s="1">
    <fb>112</fb>
    <v>28</v>
  </rv>
  <rv s="1">
    <fb>0.95</fb>
    <v>29</v>
  </rv>
  <rv s="3">
    <v>131</v>
  </rv>
  <rv s="1">
    <fb>0.2809868089</fb>
    <v>23</v>
  </rv>
  <rv s="1">
    <fb>1.7193000000000001</fb>
    <v>25</v>
  </rv>
  <rv s="1">
    <fb>47735685</fb>
    <v>24</v>
  </rv>
  <rv s="1">
    <fb>0.04</fb>
    <v>23</v>
  </rv>
  <rv s="1">
    <fb>9.4E-2</fb>
    <v>23</v>
  </rv>
  <rv s="1">
    <fb>0.41150001525878899</fb>
    <v>23</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132</v>
  </rv>
  <rv s="1">
    <fb>0.37184736139700098</fb>
    <v>23</v>
  </rv>
  <rv s="3">
    <v>133</v>
  </rv>
  <rv s="1">
    <fb>0.66099999999999992</fb>
    <v>23</v>
  </rv>
  <rv s="1">
    <fb>0.11704000473022499</fb>
    <v>31</v>
  </rv>
  <rv s="1">
    <fb>31510100</fb>
    <v>24</v>
  </rv>
  <rv s="6">
    <v>#VALUE!</v>
    <v>en-US</v>
    <v>9670a4ec-16dd-f8c8-9fa8-4a541682532b</v>
    <v>536870912</v>
    <v>1</v>
    <v>260</v>
    <v>37</v>
    <v>Algeria</v>
    <v>19</v>
    <v>20</v>
    <v>Map</v>
    <v>21</v>
    <v>261</v>
    <v>DZ</v>
    <v>2244</v>
    <v>2245</v>
    <v>2246</v>
    <v>2247</v>
    <v>2248</v>
    <v>2249</v>
    <v>2250</v>
    <v>2251</v>
    <v>2252</v>
    <v>DZD</v>
    <v>Algeria, officially the People's Democratic Republic of Algeria, is a country in the Maghreb region of North Africa. Spanning over 2,381,741 square kilometres, it is the largest country in Africa and the tenth largest in the world. It is ...</v>
    <v>2253</v>
    <v>2254</v>
    <v>2255</v>
    <v>2256</v>
    <v>2257</v>
    <v>2258</v>
    <v>2259</v>
    <v>2260</v>
    <v>2261</v>
    <v>2262</v>
    <v>2249</v>
    <v>2265</v>
    <v>2266</v>
    <v>2267</v>
    <v>2268</v>
    <v>2269</v>
    <v>2270</v>
    <v>Algeria</v>
    <v>Kassaman</v>
    <v>2271</v>
    <v>اَلْجُمهُورِيَّة اَلْجَزَائِرِيَّة اَلدِّيمُقرَاطِيَّة اَلشَّعبِيَّة</v>
    <v>2272</v>
    <v>2273</v>
    <v>2274</v>
    <v>1682</v>
    <v>1309</v>
    <v>190</v>
    <v>2275</v>
    <v>2276</v>
    <v>760</v>
    <v>348</v>
    <v>2277</v>
    <v>2326</v>
    <v>2327</v>
    <v>2328</v>
    <v>2329</v>
    <v>2330</v>
    <v>Algeria</v>
    <v>2331</v>
    <v>mdp/vdpid/4</v>
  </rv>
  <rv s="2">
    <v>36</v>
    <v>21</v>
    <v>257</v>
    <v>3</v>
    <v>0</v>
    <v>Image of Algeria</v>
  </rv>
  <rv s="0">
    <v>536870912</v>
    <v>Chile</v>
    <v>604665af-d1f4-5c64-9b93-1ef5f0471308</v>
    <v>en-US</v>
    <v>Map</v>
  </rv>
  <rv s="1">
    <fb>0.21171649832251302</fb>
    <v>23</v>
  </rv>
  <rv s="1">
    <fb>756102</fb>
    <v>24</v>
  </rv>
  <rv s="1">
    <fb>122000</fb>
    <v>24</v>
  </rv>
  <rv s="1">
    <fb>12.428000000000001</fb>
    <v>25</v>
  </rv>
  <rv s="1">
    <fb>56</fb>
    <v>26</v>
  </rv>
  <rv s="0">
    <v>536870912</v>
    <v>Santiago</v>
    <v>190dd277-52dd-5feb-5523-200c59886f8e</v>
    <v>en-US</v>
    <v>Map</v>
  </rv>
  <rv s="1">
    <fb>85822.467999999993</fb>
    <v>24</v>
  </rv>
  <rv s="1">
    <fb>131.913566974844</fb>
    <v>27</v>
  </rv>
  <rv s="1">
    <fb>2.55754475703323E-2</fb>
    <v>23</v>
  </rv>
  <rv s="1">
    <fb>3879.6756048594998</fb>
    <v>24</v>
  </rv>
  <rv s="1">
    <fb>1.649</fb>
    <v>25</v>
  </rv>
  <rv s="1">
    <fb>0.24256925086238501</fb>
    <v>23</v>
  </rv>
  <rv s="1">
    <fb>74.647212262567805</fb>
    <v>28</v>
  </rv>
  <rv s="1">
    <fb>282318159744.65002</fb>
    <v>30</v>
  </rv>
  <rv s="1">
    <fb>1.0143016</fb>
    <v>23</v>
  </rv>
  <rv s="1">
    <fb>0.88464419999999999</fb>
    <v>23</v>
  </rv>
  <rv s="2">
    <v>37</v>
    <v>21</v>
    <v>263</v>
    <v>7</v>
    <v>0</v>
    <v>Image of Chile</v>
  </rv>
  <rv s="1">
    <fb>6.2</fb>
    <v>28</v>
  </rv>
  <rv s="0">
    <v>805306368</v>
    <v>Gabriel Boric (President)</v>
    <v>a5b9649e-0dda-ce69-dd77-b90d92799948</v>
    <v>en-US</v>
    <v>Generic</v>
  </rv>
  <rv s="3">
    <v>134</v>
  </rv>
  <rv s="4">
    <v>https://www.bing.com/search?q=chile&amp;form=skydnc</v>
    <v>Learn more on Bing</v>
  </rv>
  <rv s="1">
    <fb>80.042000000000002</fb>
    <v>28</v>
  </rv>
  <rv s="1">
    <fb>203791650000</fb>
    <v>30</v>
  </rv>
  <rv s="1">
    <fb>13</fb>
    <v>28</v>
  </rv>
  <rv s="1">
    <fb>2</fb>
    <v>29</v>
  </rv>
  <rv s="1">
    <fb>0.32240714050000002</fb>
    <v>23</v>
  </rv>
  <rv s="1">
    <fb>2.5912000000000002</fb>
    <v>25</v>
  </rv>
  <rv s="1">
    <fb>19603733</fb>
    <v>24</v>
  </rv>
  <rv s="1">
    <fb>0.19699999999999998</fb>
    <v>23</v>
  </rv>
  <rv s="1">
    <fb>0.51300000000000001</fb>
    <v>23</v>
  </rv>
  <rv s="1">
    <fb>5.7999999999999996E-2</fb>
    <v>23</v>
  </rv>
  <rv s="1">
    <fb>9.6999999999999989E-2</fb>
    <v>23</v>
  </rv>
  <rv s="1">
    <fb>0.13600000000000001</fb>
    <v>23</v>
  </rv>
  <rv s="1">
    <fb>0.62644001007080097</fb>
    <v>23</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135</v>
  </rv>
  <rv s="1">
    <fb>0.182194149378896</fb>
    <v>23</v>
  </rv>
  <rv s="3">
    <v>136</v>
  </rv>
  <rv s="1">
    <fb>0.34</fb>
    <v>23</v>
  </rv>
  <rv s="1">
    <fb>7.09000015258789E-2</fb>
    <v>31</v>
  </rv>
  <rv s="1">
    <fb>16610135</fb>
    <v>24</v>
  </rv>
  <rv s="6">
    <v>#VALUE!</v>
    <v>en-US</v>
    <v>604665af-d1f4-5c64-9b93-1ef5f0471308</v>
    <v>536870912</v>
    <v>1</v>
    <v>266</v>
    <v>37</v>
    <v>Chile</v>
    <v>19</v>
    <v>20</v>
    <v>Map</v>
    <v>21</v>
    <v>267</v>
    <v>CL</v>
    <v>2335</v>
    <v>2336</v>
    <v>2337</v>
    <v>2338</v>
    <v>2339</v>
    <v>2340</v>
    <v>2341</v>
    <v>2342</v>
    <v>2343</v>
    <v>CLF</v>
    <v>Chile, officially the Republic of Chile, is a country in western South America. It is the southernmost country in the world and the closest to Antarctica, stretching along a narrow strip of land between the Andes Mountains and the Pacific Ocean. ...</v>
    <v>2344</v>
    <v>2345</v>
    <v>2346</v>
    <v>2347</v>
    <v>1235</v>
    <v>2348</v>
    <v>2349</v>
    <v>2350</v>
    <v>2351</v>
    <v>2352</v>
    <v>2340</v>
    <v>2354</v>
    <v>2355</v>
    <v>2356</v>
    <v>2357</v>
    <v>2358</v>
    <v>2359</v>
    <v>Chile</v>
    <v>National Anthem of Chile</v>
    <v>270</v>
    <v>Chile</v>
    <v>2360</v>
    <v>2361</v>
    <v>2362</v>
    <v>2363</v>
    <v>1533</v>
    <v>2364</v>
    <v>1035</v>
    <v>2365</v>
    <v>2366</v>
    <v>2367</v>
    <v>2368</v>
    <v>2384</v>
    <v>2385</v>
    <v>2386</v>
    <v>2387</v>
    <v>2388</v>
    <v>Chile</v>
    <v>2389</v>
    <v>mdp/vdpid/46</v>
  </rv>
  <rv s="2">
    <v>37</v>
    <v>21</v>
    <v>263</v>
    <v>3</v>
    <v>0</v>
    <v>Image of Chile</v>
  </rv>
  <rv s="0">
    <v>536870912</v>
    <v>Montenegro</v>
    <v>af9f6af3-dd71-b99f-0f24-acfa43b556ef</v>
    <v>en-US</v>
    <v>Map</v>
  </rv>
  <rv s="1">
    <fb>0.189591078066914</fb>
    <v>23</v>
  </rv>
  <rv s="1">
    <fb>13883</fb>
    <v>24</v>
  </rv>
  <rv s="1">
    <fb>12000</fb>
    <v>24</v>
  </rv>
  <rv s="1">
    <fb>11.731999999999999</fb>
    <v>25</v>
  </rv>
  <rv s="1">
    <fb>382</fb>
    <v>26</v>
  </rv>
  <rv s="0">
    <v>536870912</v>
    <v>Podgorica</v>
    <v>8cd372e7-d0e4-b57b-42ec-5553ec56dfd8</v>
    <v>en-US</v>
    <v>Map</v>
  </rv>
  <rv s="1">
    <fb>2016.85</fb>
    <v>24</v>
  </rv>
  <rv s="1">
    <fb>116.32011728325899</fb>
    <v>27</v>
  </rv>
  <rv s="1">
    <fb>2.6112164723023201E-2</fb>
    <v>23</v>
  </rv>
  <rv s="1">
    <fb>4612.3413904568897</fb>
    <v>24</v>
  </rv>
  <rv s="1">
    <fb>1.7450000000000001</fb>
    <v>25</v>
  </rv>
  <rv s="1">
    <fb>0.61486988847583601</fb>
    <v>23</v>
  </rv>
  <rv s="1">
    <fb>64.664697002011494</fb>
    <v>28</v>
  </rv>
  <rv s="1">
    <fb>1.1599999999999999</fb>
    <v>29</v>
  </rv>
  <rv s="1">
    <fb>5494736901.0299997</fb>
    <v>30</v>
  </rv>
  <rv s="1">
    <fb>1.0000255</fb>
    <v>23</v>
  </rv>
  <rv s="1">
    <fb>0.56080969999999997</fb>
    <v>23</v>
  </rv>
  <rv s="2">
    <v>38</v>
    <v>21</v>
    <v>269</v>
    <v>7</v>
    <v>0</v>
    <v>Image of Montenegro</v>
  </rv>
  <rv s="1">
    <fb>2.2999999999999998</fb>
    <v>28</v>
  </rv>
  <rv s="0">
    <v>805306368</v>
    <v>Jakov Milatović (President)</v>
    <v>c5ebdbf4-0ea1-7fdf-3183-65fe6ba3951f</v>
    <v>en-US</v>
    <v>Generic</v>
  </rv>
  <rv s="0">
    <v>805306368</v>
    <v>Milojko Spajić (Prime minister)</v>
    <v>765c984e-797a-8014-56a5-505ab4c9d031</v>
    <v>en-US</v>
    <v>Generic</v>
  </rv>
  <rv s="3">
    <v>137</v>
  </rv>
  <rv s="4">
    <v>https://www.bing.com/search?q=montenegro&amp;form=skydnc</v>
    <v>Learn more on Bing</v>
  </rv>
  <rv s="1">
    <fb>76.77</fb>
    <v>28</v>
  </rv>
  <rv s="1">
    <fb>3787240000</fb>
    <v>30</v>
  </rv>
  <rv s="1">
    <fb>1.23</fb>
    <v>29</v>
  </rv>
  <rv s="3">
    <v>138</v>
  </rv>
  <rv s="1">
    <fb>0.3182014152</fb>
    <v>23</v>
  </rv>
  <rv s="1">
    <fb>2.7557</fb>
    <v>25</v>
  </rv>
  <rv s="1">
    <fb>616159</fb>
    <v>24</v>
  </rv>
  <rv s="1">
    <fb>0.23499999999999999</fb>
    <v>23</v>
  </rv>
  <rv s="1">
    <fb>0.27699999999999997</fb>
    <v>23</v>
  </rv>
  <rv s="1">
    <fb>0.44299999999999995</fb>
    <v>23</v>
  </rv>
  <rv s="1">
    <fb>5.2000000000000005E-2</fb>
    <v>23</v>
  </rv>
  <rv s="1">
    <fb>0.54443000793457008</fb>
    <v>23</v>
  </rv>
  <rv s="0">
    <v>536870912</v>
    <v>Andrijevica Municipality</v>
    <v>15a37fd2-f0ad-4044-9048-f5902e1cdf8e</v>
    <v>en-US</v>
    <v>Map</v>
  </rv>
  <rv s="0">
    <v>536870912</v>
    <v>Bar Municipality</v>
    <v>ef402ae9-9313-4a3d-bcb2-2fdd468f608e</v>
    <v>en-US</v>
    <v>Map</v>
  </rv>
  <rv s="0">
    <v>536870912</v>
    <v>Berane Municipality</v>
    <v>ba21b443-43c6-4420-8c5a-6541e36f2955</v>
    <v>en-US</v>
    <v>Map</v>
  </rv>
  <rv s="0">
    <v>536870912</v>
    <v>Bijelo Polje Municipality</v>
    <v>af43ef93-bd2b-4959-bb03-8d4924e72043</v>
    <v>en-US</v>
    <v>Map</v>
  </rv>
  <rv s="0">
    <v>536870912</v>
    <v>Budva Municipality</v>
    <v>503e2de6-0c48-43c1-8cf7-dc1bf1d58e41</v>
    <v>en-US</v>
    <v>Map</v>
  </rv>
  <rv s="0">
    <v>536870912</v>
    <v>Kotor Municipality</v>
    <v>7d2d8478-3eec-4f4d-8904-aed6eb68977f</v>
    <v>en-US</v>
    <v>Map</v>
  </rv>
  <rv s="0">
    <v>536870912</v>
    <v>Old Royal Capital Cetinje</v>
    <v>af4f2915-ea34-41ab-94ef-68e51355a455</v>
    <v>en-US</v>
    <v>Map</v>
  </rv>
  <rv s="0">
    <v>536870912</v>
    <v>Danilovgrad Municipality</v>
    <v>e0623382-556b-4a20-a0c6-e12a7ea20bd3</v>
    <v>en-US</v>
    <v>Map</v>
  </rv>
  <rv s="0">
    <v>536870912</v>
    <v>Ulcinj Municipality</v>
    <v>fc0d2072-fca6-4699-9021-0607660d0ac6</v>
    <v>en-US</v>
    <v>Map</v>
  </rv>
  <rv s="0">
    <v>536870912</v>
    <v>Kolašin Municipality</v>
    <v>17e42a17-1587-4293-b180-a2e85d6bc4db</v>
    <v>en-US</v>
    <v>Map</v>
  </rv>
  <rv s="0">
    <v>536870912</v>
    <v>Mojkovac Municipality</v>
    <v>3f1ef5ae-3f29-4643-9439-cc3c8109fdf5</v>
    <v>en-US</v>
    <v>Map</v>
  </rv>
  <rv s="0">
    <v>536870912</v>
    <v>Nikšić Municipality</v>
    <v>56916107-c5a6-4deb-8948-9e0835af416f</v>
    <v>en-US</v>
    <v>Map</v>
  </rv>
  <rv s="0">
    <v>536870912</v>
    <v>Plav Municipality</v>
    <v>d4702035-6dee-47bd-b576-a1316db150a6</v>
    <v>en-US</v>
    <v>Map</v>
  </rv>
  <rv s="0">
    <v>536870912</v>
    <v>Pljevlja Municipality</v>
    <v>2834b7b3-5e41-4d03-9414-41ae6c7e882c</v>
    <v>en-US</v>
    <v>Map</v>
  </rv>
  <rv s="0">
    <v>536870912</v>
    <v>Plužine Municipality</v>
    <v>1eb28701-9a95-4f2f-8055-cb5c70ac9077</v>
    <v>en-US</v>
    <v>Map</v>
  </rv>
  <rv s="0">
    <v>536870912</v>
    <v>Podgorica Capital City</v>
    <v>1b997d29-a716-4538-a589-3e0996365705</v>
    <v>en-US</v>
    <v>Map</v>
  </rv>
  <rv s="0">
    <v>536870912</v>
    <v>Rožaje Municipality</v>
    <v>1a5c0b0d-df89-4bc0-8d71-752272966a86</v>
    <v>en-US</v>
    <v>Map</v>
  </rv>
  <rv s="0">
    <v>536870912</v>
    <v>Šavnik Municipality</v>
    <v>c19e8398-1916-46d8-b7a8-0c535c22023c</v>
    <v>en-US</v>
    <v>Map</v>
  </rv>
  <rv s="0">
    <v>536870912</v>
    <v>Tivat Municipality</v>
    <v>f95f9e50-aa80-488e-babc-916a41ffe420</v>
    <v>en-US</v>
    <v>Map</v>
  </rv>
  <rv s="0">
    <v>536870912</v>
    <v>Žabljak Municipality</v>
    <v>f1f84361-1f5b-4ff9-ade2-f85534e8c1d1</v>
    <v>en-US</v>
    <v>Map</v>
  </rv>
  <rv s="0">
    <v>536870912</v>
    <v>Petnjica Municipality</v>
    <v>639aacbf-be60-7b50-a111-95e35036c2dc</v>
    <v>en-US</v>
    <v>Map</v>
  </rv>
  <rv s="0">
    <v>536870912</v>
    <v>Gusinje Municipality</v>
    <v>f7f5835a-889d-4113-68ea-2009058f1a4d</v>
    <v>en-US</v>
    <v>Map</v>
  </rv>
  <rv s="3">
    <v>139</v>
  </rv>
  <rv s="1">
    <fb>0.14883000373840299</fb>
    <v>31</v>
  </rv>
  <rv s="1">
    <fb>417765</fb>
    <v>24</v>
  </rv>
  <rv s="7">
    <v>#VALUE!</v>
    <v>en-US</v>
    <v>af9f6af3-dd71-b99f-0f24-acfa43b556ef</v>
    <v>536870912</v>
    <v>1</v>
    <v>272</v>
    <v>44</v>
    <v>Montenegro</v>
    <v>19</v>
    <v>20</v>
    <v>Map</v>
    <v>21</v>
    <v>273</v>
    <v>ME</v>
    <v>2393</v>
    <v>2394</v>
    <v>2395</v>
    <v>2396</v>
    <v>2397</v>
    <v>2398</v>
    <v>2399</v>
    <v>2400</v>
    <v>2401</v>
    <v>EUR</v>
    <v>Montenegro is a country in Southeastern Europe, on the Balkan Peninsula. Its 25 municipalities have a total population of 633,158 people in an area of 13,883 km². It is bordered by Bosnia and Herzegovina to the northwest, Serbia to the ...</v>
    <v>2402</v>
    <v>2403</v>
    <v>2404</v>
    <v>2405</v>
    <v>2406</v>
    <v>2407</v>
    <v>2408</v>
    <v>2409</v>
    <v>2410</v>
    <v>2411</v>
    <v>2398</v>
    <v>2414</v>
    <v>2415</v>
    <v>2416</v>
    <v>2417</v>
    <v>688</v>
    <v>2418</v>
    <v>Montenegro</v>
    <v>Oj, svijetla majska zoro</v>
    <v>2419</v>
    <v>Crna Gora</v>
    <v>2420</v>
    <v>2421</v>
    <v>2422</v>
    <v>2423</v>
    <v>2424</v>
    <v>2425</v>
    <v>625</v>
    <v>2426</v>
    <v>1767</v>
    <v>1687</v>
    <v>2427</v>
    <v>2450</v>
    <v>770</v>
    <v>1763</v>
    <v>2451</v>
    <v>Montenegro</v>
    <v>2452</v>
    <v>mdp/vdpid/270</v>
  </rv>
  <rv s="2">
    <v>38</v>
    <v>21</v>
    <v>269</v>
    <v>3</v>
    <v>0</v>
    <v>Image of Montenegro</v>
  </rv>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12993.961824772699</fb>
    <v>24</v>
  </rv>
  <rv s="1">
    <fb>1.7295</fb>
    <v>25</v>
  </rv>
  <rv s="1">
    <fb>0.339297856663409</fb>
    <v>23</v>
  </rv>
  <rv s="1">
    <fb>82.427828245269197</fb>
    <v>28</v>
  </rv>
  <rv s="1">
    <fb>21427700000000</fb>
    <v>30</v>
  </rv>
  <rv s="1">
    <fb>1.0182144</fb>
    <v>23</v>
  </rv>
  <rv s="1">
    <fb>0.88167390000000001</fb>
    <v>23</v>
  </rv>
  <rv s="2">
    <v>39</v>
    <v>21</v>
    <v>275</v>
    <v>7</v>
    <v>0</v>
    <v>Image of United States</v>
  </rv>
  <rv s="1">
    <fb>5.6</fb>
    <v>28</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140</v>
  </rv>
  <rv s="4">
    <v>https://www.bing.com/search?q=united+states&amp;form=skydnc</v>
    <v>Learn more on Bing</v>
  </rv>
  <rv s="1">
    <fb>78.539024390243895</fb>
    <v>28</v>
  </rv>
  <rv s="1">
    <fb>30436313050000</fb>
    <v>30</v>
  </rv>
  <rv s="1">
    <fb>19</fb>
    <v>28</v>
  </rv>
  <rv s="1">
    <fb>7.25</fb>
    <v>29</v>
  </rv>
  <rv s="3">
    <v>141</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142</v>
  </rv>
  <rv s="1">
    <fb>9.5866513904898809E-2</fb>
    <v>23</v>
  </rv>
  <rv s="3">
    <v>143</v>
  </rv>
  <rv s="1">
    <fb>0.36599999999999999</fb>
    <v>23</v>
  </rv>
  <rv s="1">
    <fb>0.14699999999999999</fb>
    <v>31</v>
  </rv>
  <rv s="1">
    <fb>270663028</fb>
    <v>24</v>
  </rv>
  <rv s="6">
    <v>#VALUE!</v>
    <v>en-US</v>
    <v>5232ed96-85b1-2edb-12c6-63e6c597a1de</v>
    <v>536870912</v>
    <v>1</v>
    <v>278</v>
    <v>37</v>
    <v>United States</v>
    <v>19</v>
    <v>20</v>
    <v>Map</v>
    <v>21</v>
    <v>279</v>
    <v>US</v>
    <v>2456</v>
    <v>2457</v>
    <v>2458</v>
    <v>2459</v>
    <v>2460</v>
    <v>2461</v>
    <v>2462</v>
    <v>2463</v>
    <v>1899</v>
    <v>USD</v>
    <v>The United States of America, also known as the United States or America, is a country primarily located in North America. It is a federal republic of 50 states and Washington, D.C. as its federal capital district. The 48 contiguous states ...</v>
    <v>2464</v>
    <v>2465</v>
    <v>2466</v>
    <v>2467</v>
    <v>1466</v>
    <v>2468</v>
    <v>2469</v>
    <v>2470</v>
    <v>2471</v>
    <v>2472</v>
    <v>2473</v>
    <v>2478</v>
    <v>2479</v>
    <v>2480</v>
    <v>2481</v>
    <v>2482</v>
    <v>2483</v>
    <v>United States</v>
    <v>The Star-Spangled Banner</v>
    <v>2484</v>
    <v>the United States of America</v>
    <v>2485</v>
    <v>2486</v>
    <v>2487</v>
    <v>2488</v>
    <v>2489</v>
    <v>2490</v>
    <v>2491</v>
    <v>2492</v>
    <v>932</v>
    <v>1038</v>
    <v>2493</v>
    <v>2549</v>
    <v>2550</v>
    <v>2551</v>
    <v>2552</v>
    <v>2553</v>
    <v>United States</v>
    <v>2554</v>
    <v>mdp/vdpid/244</v>
  </rv>
  <rv s="2">
    <v>39</v>
    <v>21</v>
    <v>275</v>
    <v>3</v>
    <v>0</v>
    <v>Image of United States</v>
  </rv>
  <rv s="0">
    <v>536870912</v>
    <v>Cameroon</v>
    <v>8c7709c5-96e8-cb85-73ee-07b20a405a80</v>
    <v>en-US</v>
    <v>Map</v>
  </rv>
  <rv s="1">
    <fb>0.20625753633305799</fb>
    <v>23</v>
  </rv>
  <rv s="1">
    <fb>475442</fb>
    <v>24</v>
  </rv>
  <rv s="1">
    <fb>24000</fb>
    <v>24</v>
  </rv>
  <rv s="1">
    <fb>35.386000000000003</fb>
    <v>25</v>
  </rv>
  <rv s="1">
    <fb>237</fb>
    <v>26</v>
  </rv>
  <rv s="0">
    <v>536870912</v>
    <v>Yaoundé</v>
    <v>b260cbc5-ebb5-8e0f-d43a-97d4428c0125</v>
    <v>en-US</v>
    <v>Map</v>
  </rv>
  <rv s="1">
    <fb>8291.0869999999995</fb>
    <v>24</v>
  </rv>
  <rv s="1">
    <fb>118.64858829001101</fb>
    <v>27</v>
  </rv>
  <rv s="1">
    <fb>2.45280214062733E-2</fb>
    <v>23</v>
  </rv>
  <rv s="1">
    <fb>275.19791368061601</fb>
    <v>24</v>
  </rv>
  <rv s="1">
    <fb>4.5720000000000001</fb>
    <v>25</v>
  </rv>
  <rv s="1">
    <fb>0.39339129698969799</fb>
    <v>23</v>
  </rv>
  <rv s="1">
    <fb>38.3178571912403</fb>
    <v>28</v>
  </rv>
  <rv s="1">
    <fb>38760467033.389</fb>
    <v>30</v>
  </rv>
  <rv s="1">
    <fb>1.0340212</fb>
    <v>23</v>
  </rv>
  <rv s="1">
    <fb>0.12760249999999998</fb>
    <v>23</v>
  </rv>
  <rv s="2">
    <v>40</v>
    <v>21</v>
    <v>281</v>
    <v>7</v>
    <v>0</v>
    <v>Image of Cameroon</v>
  </rv>
  <rv s="1">
    <fb>50.6</fb>
    <v>28</v>
  </rv>
  <rv s="0">
    <v>536870912</v>
    <v>Douala</v>
    <v>4efee1df-9f1b-9452-8974-1369cca9d483</v>
    <v>en-US</v>
    <v>Map</v>
  </rv>
  <rv s="0">
    <v>805306368</v>
    <v>Joseph Ngute (Prime minister)</v>
    <v>b132e36d-94bf-bb8f-1dd2-b5187e9ebdd2</v>
    <v>en-US</v>
    <v>Generic</v>
  </rv>
  <rv s="3">
    <v>144</v>
  </rv>
  <rv s="4">
    <v>https://www.bing.com/search?q=cameroon+africa&amp;form=skydnc</v>
    <v>Learn more on Bing</v>
  </rv>
  <rv s="1">
    <fb>58.920999999999999</fb>
    <v>28</v>
  </rv>
  <rv s="1">
    <fb>529</fb>
    <v>28</v>
  </rv>
  <rv s="1">
    <fb>0.35</fb>
    <v>29</v>
  </rv>
  <rv s="3">
    <v>145</v>
  </rv>
  <rv s="1">
    <fb>0.69744124340000002</fb>
    <v>23</v>
  </rv>
  <rv s="1">
    <fb>8.8099999999999998E-2</fb>
    <v>25</v>
  </rv>
  <rv s="1">
    <fb>31518954</fb>
    <v>24</v>
  </rv>
  <rv s="1">
    <fb>0.35</fb>
    <v>23</v>
  </rv>
  <rv s="1">
    <fb>0.51700000000000002</fb>
    <v>23</v>
  </rv>
  <rv s="1">
    <fb>4.4999999999999998E-2</fb>
    <v>23</v>
  </rv>
  <rv s="1">
    <fb>0.76072998046874996</fb>
    <v>23</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146</v>
  </rv>
  <rv s="1">
    <fb>0.12755300580402498</fb>
    <v>23</v>
  </rv>
  <rv s="3">
    <v>147</v>
  </rv>
  <rv s="1">
    <fb>0.57700000000000007</fb>
    <v>23</v>
  </rv>
  <rv s="1">
    <fb>3.3800001144409203E-2</fb>
    <v>31</v>
  </rv>
  <rv s="1">
    <fb>14741256</fb>
    <v>24</v>
  </rv>
  <rv s="11">
    <v>#VALUE!</v>
    <v>en-US</v>
    <v>8c7709c5-96e8-cb85-73ee-07b20a405a80</v>
    <v>536870912</v>
    <v>1</v>
    <v>284</v>
    <v>103</v>
    <v>Cameroon</v>
    <v>19</v>
    <v>20</v>
    <v>Map</v>
    <v>21</v>
    <v>285</v>
    <v>CM</v>
    <v>2558</v>
    <v>2559</v>
    <v>2560</v>
    <v>2561</v>
    <v>2562</v>
    <v>2563</v>
    <v>2564</v>
    <v>2565</v>
    <v>2566</v>
    <v>XAF</v>
    <v>Cameroon, officially the Republic of Cameroon, is a country in Central Africa. It shares boundaries with Nigeria to the west and north, Chad to the northeast, the Central African Republic to the east, and Equatorial Guinea, Gabon, and the ...</v>
    <v>2567</v>
    <v>2568</v>
    <v>2569</v>
    <v>2570</v>
    <v>1235</v>
    <v>2571</v>
    <v>2572</v>
    <v>2573</v>
    <v>2574</v>
    <v>2575</v>
    <v>2576</v>
    <v>2578</v>
    <v>2579</v>
    <v>2580</v>
    <v>2581</v>
    <v>2582</v>
    <v>Cameroon</v>
    <v>O Cameroon, Cradle of Our Forefathers</v>
    <v>2583</v>
    <v>Cameroun</v>
    <v>2584</v>
    <v>2585</v>
    <v>2586</v>
    <v>1099</v>
    <v>2587</v>
    <v>2588</v>
    <v>2491</v>
    <v>2589</v>
    <v>2074</v>
    <v>760</v>
    <v>2590</v>
    <v>2601</v>
    <v>2602</v>
    <v>2603</v>
    <v>2604</v>
    <v>2605</v>
    <v>Cameroon</v>
    <v>2606</v>
    <v>mdp/vdpid/49</v>
  </rv>
  <rv s="2">
    <v>40</v>
    <v>21</v>
    <v>281</v>
    <v>3</v>
    <v>0</v>
    <v>Image of Cameroon</v>
  </rv>
  <rv s="0">
    <v>536870912</v>
    <v>Mexico</v>
    <v>8e475659-4bdc-d912-6494-affce0096bc1</v>
    <v>en-US</v>
    <v>Map</v>
  </rv>
  <rv s="1">
    <fb>0.54649553743666202</fb>
    <v>23</v>
  </rv>
  <rv s="1">
    <fb>1972550</fb>
    <v>24</v>
  </rv>
  <rv s="1">
    <fb>336000</fb>
    <v>24</v>
  </rv>
  <rv s="1">
    <fb>17.602</fb>
    <v>25</v>
  </rv>
  <rv s="1">
    <fb>52</fb>
    <v>26</v>
  </rv>
  <rv s="0">
    <v>536870912</v>
    <v>Mexico City</v>
    <v>f1281260-8340-e258-c8ec-3522504400e5</v>
    <v>en-US</v>
    <v>Map</v>
  </rv>
  <rv s="1">
    <fb>486405.54800000001</fb>
    <v>24</v>
  </rv>
  <rv s="1">
    <fb>141.54252296997399</fb>
    <v>27</v>
  </rv>
  <rv s="1">
    <fb>3.6359614212704998E-2</fb>
    <v>23</v>
  </rv>
  <rv s="1">
    <fb>2157.32394883914</fb>
    <v>24</v>
  </rv>
  <rv s="1">
    <fb>2.129</fb>
    <v>25</v>
  </rv>
  <rv s="1">
    <fb>0.339249458255099</fb>
    <v>23</v>
  </rv>
  <rv s="1">
    <fb>90.426207910940704</fb>
    <v>28</v>
  </rv>
  <rv s="1">
    <fb>1258286717124.53</fb>
    <v>30</v>
  </rv>
  <rv s="1">
    <fb>1.0577000999999999</fb>
    <v>23</v>
  </rv>
  <rv s="1">
    <fb>0.40228960000000002</fb>
    <v>23</v>
  </rv>
  <rv s="2">
    <v>41</v>
    <v>21</v>
    <v>287</v>
    <v>7</v>
    <v>0</v>
    <v>Image of Mexico</v>
  </rv>
  <rv s="0">
    <v>805306368</v>
    <v>Claudia Sheinbaum (President)</v>
    <v>d0490c30-2b7a-cbfd-f6ed-dffdff40aeb0</v>
    <v>en-US</v>
    <v>Generic</v>
  </rv>
  <rv s="0">
    <v>805306368</v>
    <v>Norma Lucía Piña Hernández (Chief justice)</v>
    <v>c6ded009-db4d-d436-ada5-514c16278dd4</v>
    <v>en-US</v>
    <v>Generic</v>
  </rv>
  <rv s="3">
    <v>148</v>
  </rv>
  <rv s="4">
    <v>https://www.bing.com/search?q=mexico&amp;form=skydnc</v>
    <v>Learn more on Bing</v>
  </rv>
  <rv s="1">
    <fb>74.992000000000004</fb>
    <v>28</v>
  </rv>
  <rv s="1">
    <fb>413618820000</fb>
    <v>30</v>
  </rv>
  <rv s="1">
    <fb>33</fb>
    <v>28</v>
  </rv>
  <rv s="1">
    <fb>0.49</fb>
    <v>29</v>
  </rv>
  <rv s="3">
    <v>149</v>
  </rv>
  <rv s="1">
    <fb>0.41370018680000004</fb>
    <v>23</v>
  </rv>
  <rv s="1">
    <fb>2.3826999999999998</fb>
    <v>25</v>
  </rv>
  <rv s="1">
    <fb>127504125</fb>
    <v>24</v>
  </rv>
  <rv s="1">
    <fb>0.2</fb>
    <v>23</v>
  </rv>
  <rv s="1">
    <fb>0.36399999999999999</fb>
    <v>23</v>
  </rv>
  <rv s="1">
    <fb>0.02</fb>
    <v>23</v>
  </rv>
  <rv s="1">
    <fb>5.4000000000000006E-2</fb>
    <v>23</v>
  </rv>
  <rv s="1">
    <fb>9.5000000000000001E-2</fb>
    <v>23</v>
  </rv>
  <rv s="1">
    <fb>0.13500000000000001</fb>
    <v>23</v>
  </rv>
  <rv s="1">
    <fb>0.60680000305175807</fb>
    <v>23</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150</v>
  </rv>
  <rv s="1">
    <fb>0.130829255322402</fb>
    <v>23</v>
  </rv>
  <rv s="3">
    <v>151</v>
  </rv>
  <rv s="1">
    <fb>0.55100000000000005</fb>
    <v>23</v>
  </rv>
  <rv s="1">
    <fb>3.4249999523162801E-2</fb>
    <v>31</v>
  </rv>
  <rv s="1">
    <fb>102626859</fb>
    <v>24</v>
  </rv>
  <rv s="6">
    <v>#VALUE!</v>
    <v>en-US</v>
    <v>8e475659-4bdc-d912-6494-affce0096bc1</v>
    <v>536870912</v>
    <v>1</v>
    <v>290</v>
    <v>37</v>
    <v>Mexico</v>
    <v>19</v>
    <v>20</v>
    <v>Map</v>
    <v>21</v>
    <v>291</v>
    <v>MX</v>
    <v>2610</v>
    <v>2611</v>
    <v>2612</v>
    <v>2613</v>
    <v>2614</v>
    <v>2615</v>
    <v>2616</v>
    <v>2617</v>
    <v>2618</v>
    <v>MXN</v>
    <v>Mexico, officially the United Mexican States, is a country in North America. It borders the United States to the north, and Guatemala and Belize to the southeast; while having maritime boundaries with the Pacific Ocean to the west, the Caribbean ...</v>
    <v>2619</v>
    <v>2620</v>
    <v>2621</v>
    <v>2622</v>
    <v>1677</v>
    <v>2623</v>
    <v>2624</v>
    <v>2625</v>
    <v>2626</v>
    <v>336</v>
    <v>2615</v>
    <v>2629</v>
    <v>2630</v>
    <v>2631</v>
    <v>2632</v>
    <v>2633</v>
    <v>2634</v>
    <v>Mexico</v>
    <v>Himno Nacional Mexicano</v>
    <v>2635</v>
    <v>Estaos Xuníos Mexicanos</v>
    <v>2636</v>
    <v>2637</v>
    <v>2638</v>
    <v>2639</v>
    <v>2640</v>
    <v>2588</v>
    <v>2641</v>
    <v>2642</v>
    <v>2643</v>
    <v>2644</v>
    <v>2645</v>
    <v>2677</v>
    <v>2678</v>
    <v>2679</v>
    <v>2680</v>
    <v>2681</v>
    <v>Mexico</v>
    <v>2682</v>
    <v>mdp/vdpid/166</v>
  </rv>
  <rv s="2">
    <v>41</v>
    <v>21</v>
    <v>287</v>
    <v>3</v>
    <v>0</v>
    <v>Image of Mexico</v>
  </rv>
  <rv s="0">
    <v>536870912</v>
    <v>Romania</v>
    <v>0cc489d5-ff53-84f1-4fcc-76525efef33a</v>
    <v>en-US</v>
    <v>Map</v>
  </rv>
  <rv s="1">
    <fb>0.58766515994436697</fb>
    <v>23</v>
  </rv>
  <rv s="1">
    <fb>238397</fb>
    <v>24</v>
  </rv>
  <rv s="1">
    <fb>126000</fb>
    <v>24</v>
  </rv>
  <rv s="1">
    <fb>9.6</fb>
    <v>25</v>
  </rv>
  <rv s="1">
    <fb>40</fb>
    <v>26</v>
  </rv>
  <rv s="0">
    <v>536870912</v>
    <v>Bucharest</v>
    <v>42022f97-112e-58a6-70f5-9536b20ee957</v>
    <v>en-US</v>
    <v>Map</v>
  </rv>
  <rv s="1">
    <fb>69258.629000000001</fb>
    <v>24</v>
  </rv>
  <rv s="1">
    <fb>123.780383348878</fb>
    <v>27</v>
  </rv>
  <rv s="1">
    <fb>3.8278543259942802E-2</fb>
    <v>23</v>
  </rv>
  <rv s="1">
    <fb>2584.4117872644301</fb>
    <v>24</v>
  </rv>
  <rv s="1">
    <fb>0.301208283871371</fb>
    <v>23</v>
  </rv>
  <rv s="1">
    <fb>72.523694574412801</fb>
    <v>28</v>
  </rv>
  <rv s="1">
    <fb>250077444017.08401</fb>
    <v>30</v>
  </rv>
  <rv s="1">
    <fb>0.85150870000000001</fb>
    <v>23</v>
  </rv>
  <rv s="1">
    <fb>0.4938187</fb>
    <v>23</v>
  </rv>
  <rv s="2">
    <v>42</v>
    <v>21</v>
    <v>293</v>
    <v>7</v>
    <v>0</v>
    <v>Image of Romania</v>
  </rv>
  <rv s="1">
    <fb>6.1</fb>
    <v>28</v>
  </rv>
  <rv s="0">
    <v>805306368</v>
    <v>Ilie Bolojan (President)</v>
    <v>41901219-9283-40c1-e39b-0f2d8738b706</v>
    <v>en-US</v>
    <v>Generic</v>
  </rv>
  <rv s="0">
    <v>805306368</v>
    <v>Marcel Ciolacu (Prime minister)</v>
    <v>85188c14-f939-1c62-12fb-e44a3a13ab1d</v>
    <v>en-US</v>
    <v>Generic</v>
  </rv>
  <rv s="3">
    <v>152</v>
  </rv>
  <rv s="4">
    <v>https://www.bing.com/search?q=romania&amp;form=skydnc</v>
    <v>Learn more on Bing</v>
  </rv>
  <rv s="1">
    <fb>75.358536585365897</fb>
    <v>28</v>
  </rv>
  <rv s="1">
    <fb>26110300000</fb>
    <v>30</v>
  </rv>
  <rv s="1">
    <fb>2.25</fb>
    <v>29</v>
  </rv>
  <rv s="3">
    <v>153</v>
  </rv>
  <rv s="1">
    <fb>0.21276716530000001</fb>
    <v>23</v>
  </rv>
  <rv s="1">
    <fb>2.9807000000000001</fb>
    <v>25</v>
  </rv>
  <rv s="1">
    <fb>18956666</fb>
    <v>24</v>
  </rv>
  <rv s="1">
    <fb>0.247</fb>
    <v>23</v>
  </rv>
  <rv s="1">
    <fb>0.249</fb>
    <v>23</v>
  </rv>
  <rv s="1">
    <fb>0.11699999999999999</fb>
    <v>23</v>
  </rv>
  <rv s="1">
    <fb>0.54661998748779295</fb>
    <v>23</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3">
    <v>154</v>
  </rv>
  <rv s="1">
    <fb>0.14584834808348801</fb>
    <v>23</v>
  </rv>
  <rv s="1">
    <fb>3.9760000705719001E-2</fb>
    <v>31</v>
  </rv>
  <rv s="1">
    <fb>10468793</fb>
    <v>24</v>
  </rv>
  <rv s="6">
    <v>#VALUE!</v>
    <v>en-US</v>
    <v>0cc489d5-ff53-84f1-4fcc-76525efef33a</v>
    <v>536870912</v>
    <v>1</v>
    <v>296</v>
    <v>37</v>
    <v>Romania</v>
    <v>19</v>
    <v>20</v>
    <v>Map</v>
    <v>21</v>
    <v>297</v>
    <v>RO</v>
    <v>2686</v>
    <v>2687</v>
    <v>2688</v>
    <v>2689</v>
    <v>2690</v>
    <v>2691</v>
    <v>2692</v>
    <v>2693</v>
    <v>2694</v>
    <v>RON</v>
    <v>Romania is a country located at the crossroads of Central, Eastern and Southeast Europe. It borders Ukraine to the north and east, Hungary to the west, Serbia to the southwest, Bulgaria to the south, Moldova to the east, and the Black Sea to the ...</v>
    <v>2695</v>
    <v>1608</v>
    <v>2696</v>
    <v>2697</v>
    <v>2406</v>
    <v>2698</v>
    <v>2699</v>
    <v>2700</v>
    <v>2701</v>
    <v>2702</v>
    <v>2691</v>
    <v>2705</v>
    <v>2706</v>
    <v>2707</v>
    <v>2708</v>
    <v>2482</v>
    <v>2709</v>
    <v>Romania</v>
    <v>Deșteaptă-te, române!</v>
    <v>2710</v>
    <v>România</v>
    <v>2711</v>
    <v>2712</v>
    <v>2713</v>
    <v>2714</v>
    <v>2715</v>
    <v>33</v>
    <v>276</v>
    <v>1211</v>
    <v>2716</v>
    <v>806</v>
    <v>2717</v>
    <v>2759</v>
    <v>2760</v>
    <v>129</v>
    <v>2639</v>
    <v>2761</v>
    <v>Romania</v>
    <v>2762</v>
    <v>mdp/vdpid/200</v>
  </rv>
  <rv s="2">
    <v>42</v>
    <v>21</v>
    <v>293</v>
    <v>3</v>
    <v>0</v>
    <v>Image of Romania</v>
  </rv>
  <rv s="0">
    <v>536870912</v>
    <v>Venezuela</v>
    <v>6dd1d7bd-393f-a467-12fa-e71f98cc00b9</v>
    <v>en-US</v>
    <v>Map</v>
  </rv>
  <rv s="1">
    <fb>0.24488407686639099</fb>
    <v>23</v>
  </rv>
  <rv s="1">
    <fb>912050</fb>
    <v>24</v>
  </rv>
  <rv s="1">
    <fb>343000</fb>
    <v>24</v>
  </rv>
  <rv s="1">
    <fb>17.881</fb>
    <v>25</v>
  </rv>
  <rv s="1">
    <fb>58</fb>
    <v>26</v>
  </rv>
  <rv s="0">
    <v>536870912</v>
    <v>Caracas</v>
    <v>37b7d7c3-c045-e782-f35d-01ee5d1cb58a</v>
    <v>en-US</v>
    <v>Map</v>
  </rv>
  <rv s="1">
    <fb>164175.25700000001</fb>
    <v>24</v>
  </rv>
  <rv s="1">
    <fb>2740.2739846709501</fb>
    <v>27</v>
  </rv>
  <rv s="1">
    <fb>2.5494853478181501</fb>
    <v>23</v>
  </rv>
  <rv s="1">
    <fb>2718.9427745604298</fb>
    <v>24</v>
  </rv>
  <rv s="1">
    <fb>2.2719999999999998</fb>
    <v>25</v>
  </rv>
  <rv s="1">
    <fb>0.52739188892352995</fb>
    <v>23</v>
  </rv>
  <rv s="1">
    <fb>88.377973216128495</fb>
    <v>28</v>
  </rv>
  <rv s="1">
    <fb>8.0000000000000007E-5</fb>
    <v>29</v>
  </rv>
  <rv s="1">
    <fb>482359318767.703</fb>
    <v>30</v>
  </rv>
  <rv s="1">
    <fb>0.97150340000000002</fb>
    <v>23</v>
  </rv>
  <rv s="1">
    <fb>0.79300560000000009</fb>
    <v>23</v>
  </rv>
  <rv s="2">
    <v>43</v>
    <v>21</v>
    <v>299</v>
    <v>7</v>
    <v>0</v>
    <v>Image of Venezuela</v>
  </rv>
  <rv s="1">
    <fb>21.4</fb>
    <v>28</v>
  </rv>
  <rv s="0">
    <v>805306368</v>
    <v>Nicolás Maduro (President)</v>
    <v>62dd568b-6165-618b-d9a8-240b52e23c2f</v>
    <v>en-US</v>
    <v>Generic</v>
  </rv>
  <rv s="0">
    <v>805306368</v>
    <v>Delcy Rodríguez (Vice president)</v>
    <v>3014211c-495f-e0e6-c992-adcbda263b50</v>
    <v>en-US</v>
    <v>Generic</v>
  </rv>
  <rv s="3">
    <v>155</v>
  </rv>
  <rv s="4">
    <v>https://www.bing.com/search?q=venezuela&amp;form=skydnc</v>
    <v>Learn more on Bing</v>
  </rv>
  <rv s="1">
    <fb>72.128</fb>
    <v>28</v>
  </rv>
  <rv s="1">
    <fb>3979600000</fb>
    <v>30</v>
  </rv>
  <rv s="1">
    <fb>125</fb>
    <v>28</v>
  </rv>
  <rv s="3">
    <v>156</v>
  </rv>
  <rv s="1">
    <fb>0.45821973509999997</fb>
    <v>23</v>
  </rv>
  <rv s="1">
    <fb>1.9239999999999999</fb>
    <v>25</v>
  </rv>
  <rv s="1">
    <fb>28301696</fb>
    <v>24</v>
  </rv>
  <rv s="1">
    <fb>0.34100000000000003</fb>
    <v>23</v>
  </rv>
  <rv s="1">
    <fb>0.50700000000000001</fb>
    <v>23</v>
  </rv>
  <rv s="1">
    <fb>5.0000000000000001E-3</fb>
    <v>23</v>
  </rv>
  <rv s="1">
    <fb>0.14499999999999999</fb>
    <v>23</v>
  </rv>
  <rv s="1">
    <fb>0.59729999542236301</fb>
    <v>23</v>
  </rv>
  <rv s="0">
    <v>536870912</v>
    <v>Amazonas</v>
    <v>d12613b2-1769-fd3d-c816-bcf4892760c3</v>
    <v>en-US</v>
    <v>Map</v>
  </rv>
  <rv s="0">
    <v>536870912</v>
    <v>Anzoátegui</v>
    <v>8b43f71e-5058-e865-1fb6-e3cba21044b1</v>
    <v>en-US</v>
    <v>Map</v>
  </rv>
  <rv s="0">
    <v>536870912</v>
    <v>Apure</v>
    <v>9e1a67ac-4ea1-77bf-fa76-5f58931e81f8</v>
    <v>en-US</v>
    <v>Map</v>
  </rv>
  <rv s="0">
    <v>536870912</v>
    <v>Aragua</v>
    <v>83a3ec29-14b4-40cd-dc2d-86791c9d5180</v>
    <v>en-US</v>
    <v>Map</v>
  </rv>
  <rv s="0">
    <v>536870912</v>
    <v>Barinas</v>
    <v>24fe6763-a2f0-d630-66c3-08b9a841c6a1</v>
    <v>en-US</v>
    <v>Map</v>
  </rv>
  <rv s="0">
    <v>536870912</v>
    <v>Bolívar</v>
    <v>28ee01f1-3481-9fbb-480a-171c08837ce7</v>
    <v>en-US</v>
    <v>Map</v>
  </rv>
  <rv s="0">
    <v>536870912</v>
    <v>Carabobo</v>
    <v>0c400799-a7d1-9188-76c7-a03eb7bf96e6</v>
    <v>en-US</v>
    <v>Map</v>
  </rv>
  <rv s="0">
    <v>536870912</v>
    <v>Cojedes</v>
    <v>215558ac-dbeb-54e0-6265-2f177bc16686</v>
    <v>en-US</v>
    <v>Map</v>
  </rv>
  <rv s="0">
    <v>536870912</v>
    <v>Delta Amacuro</v>
    <v>a721c377-8d7b-63cb-48ce-8ca1cd475256</v>
    <v>en-US</v>
    <v>Map</v>
  </rv>
  <rv s="0">
    <v>536870912</v>
    <v>Falcón</v>
    <v>1f741430-789f-b870-4ec3-f3825be02dfd</v>
    <v>en-US</v>
    <v>Map</v>
  </rv>
  <rv s="0">
    <v>536870912</v>
    <v>Guárico</v>
    <v>f4010586-9f13-d10f-ad74-c388243ab99f</v>
    <v>en-US</v>
    <v>Map</v>
  </rv>
  <rv s="0">
    <v>536870912</v>
    <v>Lara</v>
    <v>28bc93f2-4f7d-957c-6576-a3bdc7b84923</v>
    <v>en-US</v>
    <v>Map</v>
  </rv>
  <rv s="0">
    <v>536870912</v>
    <v>Mérida</v>
    <v>a4989c58-06e5-45a4-b8f4-502581f7c935</v>
    <v>en-US</v>
    <v>Map</v>
  </rv>
  <rv s="0">
    <v>536870912</v>
    <v>Miranda</v>
    <v>c203d749-ff23-1654-7423-de62cda7879d</v>
    <v>en-US</v>
    <v>Map</v>
  </rv>
  <rv s="0">
    <v>536870912</v>
    <v>Monagas</v>
    <v>99d16d3b-4480-6e2e-3af6-b19380240865</v>
    <v>en-US</v>
    <v>Map</v>
  </rv>
  <rv s="0">
    <v>536870912</v>
    <v>Nueva Esparta</v>
    <v>61c93a6f-fa24-e914-9131-ff9cb21de321</v>
    <v>en-US</v>
    <v>Map</v>
  </rv>
  <rv s="0">
    <v>536870912</v>
    <v>Portuguesa</v>
    <v>f1c90efa-241a-1208-9ea6-ec628dcaabf6</v>
    <v>en-US</v>
    <v>Map</v>
  </rv>
  <rv s="0">
    <v>536870912</v>
    <v>Sucre</v>
    <v>a8d1a122-aba3-9b31-a5c1-1c2d5301513e</v>
    <v>en-US</v>
    <v>Map</v>
  </rv>
  <rv s="0">
    <v>536870912</v>
    <v>Táchira</v>
    <v>72391449-1011-80da-d60b-1493d591b575</v>
    <v>en-US</v>
    <v>Map</v>
  </rv>
  <rv s="0">
    <v>536870912</v>
    <v>Trujillo</v>
    <v>d68dd921-4861-e8a8-eaee-d5cf8cbfb3b8</v>
    <v>en-US</v>
    <v>Map</v>
  </rv>
  <rv s="0">
    <v>536870912</v>
    <v>La Guaira</v>
    <v>83b14d4b-fd80-6876-e6e3-6606024eaa2a</v>
    <v>en-US</v>
    <v>Map</v>
  </rv>
  <rv s="0">
    <v>536870912</v>
    <v>Yaracuy</v>
    <v>0ce1d139-cd0d-fdbf-9574-076a3d792483</v>
    <v>en-US</v>
    <v>Map</v>
  </rv>
  <rv s="0">
    <v>536870912</v>
    <v>Zulia</v>
    <v>b746a809-b508-f853-1aa2-8eb307076ab8</v>
    <v>en-US</v>
    <v>Map</v>
  </rv>
  <rv s="0">
    <v>536870912</v>
    <v>Capital District</v>
    <v>5142924b-c000-9b6b-e280-614ac90f2102</v>
    <v>en-US</v>
    <v>Map</v>
  </rv>
  <rv s="0">
    <v>536870912</v>
    <v>Federal Dependencies of Venezuela</v>
    <v>4ca38740-fb38-50ad-0c45-8a599048aa45</v>
    <v>en-US</v>
    <v>Map</v>
  </rv>
  <rv s="3">
    <v>157</v>
  </rv>
  <rv s="3">
    <v>158</v>
  </rv>
  <rv s="1">
    <fb>0.73299999999999998</fb>
    <v>23</v>
  </rv>
  <rv s="1">
    <fb>8.800999641418461E-2</fb>
    <v>31</v>
  </rv>
  <rv s="1">
    <fb>25162368</fb>
    <v>24</v>
  </rv>
  <rv s="7">
    <v>#VALUE!</v>
    <v>en-US</v>
    <v>6dd1d7bd-393f-a467-12fa-e71f98cc00b9</v>
    <v>536870912</v>
    <v>1</v>
    <v>302</v>
    <v>44</v>
    <v>Venezuela</v>
    <v>19</v>
    <v>20</v>
    <v>Map</v>
    <v>21</v>
    <v>303</v>
    <v>VE</v>
    <v>2766</v>
    <v>2767</v>
    <v>2768</v>
    <v>2769</v>
    <v>2770</v>
    <v>2771</v>
    <v>2772</v>
    <v>2773</v>
    <v>2774</v>
    <v>VES</v>
    <v>Venezuela, officially the Bolivarian Republic of Venezuela, is a country on the northern coast of South America, consisting of a continental landmass and many islands and islets in the Caribbean Sea. It comprises an area of 916,445 km², and its ...</v>
    <v>2775</v>
    <v>2776</v>
    <v>2777</v>
    <v>2778</v>
    <v>2779</v>
    <v>2780</v>
    <v>2781</v>
    <v>2782</v>
    <v>2783</v>
    <v>2784</v>
    <v>2771</v>
    <v>2787</v>
    <v>2788</v>
    <v>2789</v>
    <v>2790</v>
    <v>2791</v>
    <v>458</v>
    <v>Venezuela</v>
    <v>Gloria al Bravo Pueblo</v>
    <v>2792</v>
    <v>República Bolivariana de Venezuela</v>
    <v>2793</v>
    <v>2794</v>
    <v>2795</v>
    <v>1682</v>
    <v>2796</v>
    <v>2797</v>
    <v>2798</v>
    <v>863</v>
    <v>278</v>
    <v>2799</v>
    <v>2800</v>
    <v>2826</v>
    <v>2827</v>
    <v>2828</v>
    <v>2829</v>
    <v>Venezuela</v>
    <v>2830</v>
    <v>mdp/vdpid/249</v>
  </rv>
  <rv s="2">
    <v>43</v>
    <v>21</v>
    <v>299</v>
    <v>3</v>
    <v>0</v>
    <v>Image of Venezuela</v>
  </rv>
  <rv s="0">
    <v>536870912</v>
    <v>Colombia</v>
    <v>c396e3d8-2a85-d230-f691-7850536d840e</v>
    <v>en-US</v>
    <v>Map</v>
  </rv>
  <rv s="1">
    <fb>0.40257414657503404</fb>
    <v>23</v>
  </rv>
  <rv s="1">
    <fb>1141748</fb>
    <v>24</v>
  </rv>
  <rv s="1">
    <fb>481000</fb>
    <v>24</v>
  </rv>
  <rv s="1">
    <fb>14.882</fb>
    <v>25</v>
  </rv>
  <rv s="1">
    <fb>57</fb>
    <v>26</v>
  </rv>
  <rv s="0">
    <v>536870912</v>
    <v>Bogotá</v>
    <v>66b24d5c-468c-2dd6-e6ce-34504b6f6cb4</v>
    <v>en-US</v>
    <v>Map</v>
  </rv>
  <rv s="1">
    <fb>97813.558000000005</fb>
    <v>24</v>
  </rv>
  <rv s="1">
    <fb>140.95037394202501</fb>
    <v>27</v>
  </rv>
  <rv s="1">
    <fb>3.52549273618952E-2</fb>
    <v>23</v>
  </rv>
  <rv s="1">
    <fb>1312.1575030143699</fb>
    <v>24</v>
  </rv>
  <rv s="1">
    <fb>1.8069999999999999</fb>
    <v>25</v>
  </rv>
  <rv s="1">
    <fb>0.52703938288643504</fb>
    <v>23</v>
  </rv>
  <rv s="1">
    <fb>76.685692626893996</fb>
    <v>28</v>
  </rv>
  <rv s="1">
    <fb>0.68</fb>
    <v>29</v>
  </rv>
  <rv s="1">
    <fb>323802808108.24597</fb>
    <v>30</v>
  </rv>
  <rv s="1">
    <fb>1.1452666</fb>
    <v>23</v>
  </rv>
  <rv s="1">
    <fb>0.55327490000000001</fb>
    <v>23</v>
  </rv>
  <rv s="2">
    <v>44</v>
    <v>21</v>
    <v>305</v>
    <v>7</v>
    <v>0</v>
    <v>Image of Colombia</v>
  </rv>
  <rv s="0">
    <v>805306368</v>
    <v>Gustavo Petro (President)</v>
    <v>6d82a058-5246-ec8e-cc68-4ec9b7022623</v>
    <v>en-US</v>
    <v>Generic</v>
  </rv>
  <rv s="0">
    <v>805306368</v>
    <v>Francia Márquez (Vice president)</v>
    <v>31dbe672-1593-31cc-dd43-199002188cba</v>
    <v>en-US</v>
    <v>Generic</v>
  </rv>
  <rv s="3">
    <v>159</v>
  </rv>
  <rv s="4">
    <v>https://www.bing.com/search?q=colombia&amp;form=skydnc</v>
    <v>Learn more on Bing</v>
  </rv>
  <rv s="1">
    <fb>77.108999999999995</fb>
    <v>28</v>
  </rv>
  <rv s="1">
    <fb>132040280000</fb>
    <v>30</v>
  </rv>
  <rv s="1">
    <fb>83</fb>
    <v>28</v>
  </rv>
  <rv s="3">
    <v>160</v>
  </rv>
  <rv s="1">
    <fb>0.1829434999</fb>
    <v>23</v>
  </rv>
  <rv s="1">
    <fb>2.1848000000000001</fb>
    <v>25</v>
  </rv>
  <rv s="1">
    <fb>51874024</fb>
    <v>24</v>
  </rv>
  <rv s="1">
    <fb>0.19899999999999998</fb>
    <v>23</v>
  </rv>
  <rv s="1">
    <fb>0.39700000000000002</fb>
    <v>23</v>
  </rv>
  <rv s="1">
    <fb>1.3999999999999999E-2</fb>
    <v>23</v>
  </rv>
  <rv s="1">
    <fb>0.68771003723144508</fb>
    <v>23</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161</v>
  </rv>
  <rv s="1">
    <fb>0.144026436439844</fb>
    <v>23</v>
  </rv>
  <rv s="1">
    <fb>0.71200000000000008</fb>
    <v>23</v>
  </rv>
  <rv s="1">
    <fb>9.7069997787475604E-2</fb>
    <v>31</v>
  </rv>
  <rv s="1">
    <fb>40827302</fb>
    <v>24</v>
  </rv>
  <rv s="6">
    <v>#VALUE!</v>
    <v>en-US</v>
    <v>c396e3d8-2a85-d230-f691-7850536d840e</v>
    <v>536870912</v>
    <v>1</v>
    <v>308</v>
    <v>37</v>
    <v>Colombia</v>
    <v>19</v>
    <v>20</v>
    <v>Map</v>
    <v>21</v>
    <v>242</v>
    <v>CO</v>
    <v>2834</v>
    <v>2835</v>
    <v>2836</v>
    <v>2837</v>
    <v>2838</v>
    <v>2839</v>
    <v>2840</v>
    <v>2841</v>
    <v>2842</v>
    <v>COP</v>
    <v>Colombia, officially the Republic of Colombia, is a country primarily located in South America with insular regions in North America. The Colombian mainland is bordered by the Caribbean Sea to the north, Venezuela to the east and northeast, ...</v>
    <v>2843</v>
    <v>2844</v>
    <v>2845</v>
    <v>2846</v>
    <v>2847</v>
    <v>2848</v>
    <v>2849</v>
    <v>2850</v>
    <v>2851</v>
    <v>260</v>
    <v>2839</v>
    <v>2854</v>
    <v>2855</v>
    <v>2856</v>
    <v>2857</v>
    <v>2858</v>
    <v>2418</v>
    <v>Colombia</v>
    <v>National Anthem of Colombia</v>
    <v>2859</v>
    <v>República de Colombia</v>
    <v>2860</v>
    <v>2861</v>
    <v>2862</v>
    <v>2863</v>
    <v>2864</v>
    <v>1544</v>
    <v>2865</v>
    <v>2275</v>
    <v>864</v>
    <v>2124</v>
    <v>2866</v>
    <v>2899</v>
    <v>2900</v>
    <v>189</v>
    <v>2901</v>
    <v>2902</v>
    <v>Colombia</v>
    <v>2903</v>
    <v>mdp/vdpid/51</v>
  </rv>
  <rv s="2">
    <v>44</v>
    <v>21</v>
    <v>305</v>
    <v>3</v>
    <v>0</v>
    <v>Image of Colombia</v>
  </rv>
  <rv s="0">
    <v>536870912</v>
    <v>Honduras</v>
    <v>f3535c6b-be45-301f-41bd-b224e60e78e7</v>
    <v>en-US</v>
    <v>Map</v>
  </rv>
  <rv s="1">
    <fb>0.28912324604522299</fb>
    <v>23</v>
  </rv>
  <rv s="1">
    <fb>112492</fb>
    <v>24</v>
  </rv>
  <rv s="1">
    <fb>23000</fb>
    <v>24</v>
  </rv>
  <rv s="1">
    <fb>21.599</fb>
    <v>25</v>
  </rv>
  <rv s="1">
    <fb>504</fb>
    <v>26</v>
  </rv>
  <rv s="0">
    <v>536870912</v>
    <v>Tegucigalpa</v>
    <v>78ddeef7-86f1-2ff0-29ca-386d442656c1</v>
    <v>en-US</v>
    <v>Map</v>
  </rv>
  <rv s="1">
    <fb>9812.8919999999998</fb>
    <v>24</v>
  </rv>
  <rv s="1">
    <fb>150.34435782941</fb>
    <v>27</v>
  </rv>
  <rv s="1">
    <fb>4.3658715981927193E-2</fb>
    <v>23</v>
  </rv>
  <rv s="1">
    <fb>619.83639490378596</fb>
    <v>24</v>
  </rv>
  <rv s="1">
    <fb>2.46</fb>
    <v>25</v>
  </rv>
  <rv s="1">
    <fb>0.39967825542943997</fb>
    <v>23</v>
  </rv>
  <rv s="1">
    <fb>52.479312528490702</fb>
    <v>28</v>
  </rv>
  <rv s="1">
    <fb>25095395475.039299</fb>
    <v>30</v>
  </rv>
  <rv s="1">
    <fb>0.91534959999999999</fb>
    <v>23</v>
  </rv>
  <rv s="1">
    <fb>0.26164219999999999</fb>
    <v>23</v>
  </rv>
  <rv s="2">
    <v>45</v>
    <v>21</v>
    <v>310</v>
    <v>7</v>
    <v>0</v>
    <v>Image of Honduras</v>
  </rv>
  <rv s="1">
    <fb>15.1</fb>
    <v>28</v>
  </rv>
  <rv s="0">
    <v>805306368</v>
    <v>Xiomara Castro (President)</v>
    <v>a8bfe5aa-953e-ce39-1149-dc28366dcd2e</v>
    <v>en-US</v>
    <v>Generic</v>
  </rv>
  <rv s="3">
    <v>162</v>
  </rv>
  <rv s="4">
    <v>https://www.bing.com/search?q=honduras&amp;form=skydnc</v>
    <v>Learn more on Bing</v>
  </rv>
  <rv s="1">
    <fb>75.087999999999994</fb>
    <v>28</v>
  </rv>
  <rv s="1">
    <fb>65</fb>
    <v>28</v>
  </rv>
  <rv s="1">
    <fb>1.01</fb>
    <v>29</v>
  </rv>
  <rv s="3">
    <v>163</v>
  </rv>
  <rv s="1">
    <fb>0.49125813399999996</fb>
    <v>23</v>
  </rv>
  <rv s="1">
    <fb>0.30890000000000001</fb>
    <v>25</v>
  </rv>
  <rv s="1">
    <fb>10432860</fb>
    <v>24</v>
  </rv>
  <rv s="1">
    <fb>0.20800000000000002</fb>
    <v>23</v>
  </rv>
  <rv s="1">
    <fb>0.39100000000000001</fb>
    <v>23</v>
  </rv>
  <rv s="1">
    <fb>0.56100000000000005</fb>
    <v>23</v>
  </rv>
  <rv s="1">
    <fb>9.0000000000000011E-3</fb>
    <v>23</v>
  </rv>
  <rv s="1">
    <fb>0.127</fb>
    <v>23</v>
  </rv>
  <rv s="0">
    <v>536870912</v>
    <v>Atlántida Department</v>
    <v>702947cc-d6b1-39ba-53d0-8fb30bcdd562</v>
    <v>en-US</v>
    <v>Map</v>
  </rv>
  <rv s="0">
    <v>536870912</v>
    <v>Choluteca Department</v>
    <v>3a599964-e799-949b-eec1-79c52dfe6662</v>
    <v>en-US</v>
    <v>Map</v>
  </rv>
  <rv s="0">
    <v>536870912</v>
    <v>Colón Department</v>
    <v>11442aed-534d-e11a-22b2-8603ec21c516</v>
    <v>en-US</v>
    <v>Map</v>
  </rv>
  <rv s="0">
    <v>536870912</v>
    <v>Comayagua Department</v>
    <v>34e8270a-3e9c-399e-dbc3-2630d4ee1cc1</v>
    <v>en-US</v>
    <v>Map</v>
  </rv>
  <rv s="0">
    <v>536870912</v>
    <v>Copán Department</v>
    <v>1af5f116-a30f-a7cb-60d0-538ffaa52ce7</v>
    <v>en-US</v>
    <v>Map</v>
  </rv>
  <rv s="0">
    <v>536870912</v>
    <v>Cortés Department</v>
    <v>bd450a11-8f2d-a557-ddd8-d690f789ec15</v>
    <v>en-US</v>
    <v>Map</v>
  </rv>
  <rv s="0">
    <v>536870912</v>
    <v>El Paraíso Department</v>
    <v>835ccc7d-9cd0-4825-3241-e863c5ee620c</v>
    <v>en-US</v>
    <v>Map</v>
  </rv>
  <rv s="0">
    <v>536870912</v>
    <v>Francisco Morazán Department</v>
    <v>e7bd130b-3daf-ad30-732a-07bfe91c1866</v>
    <v>en-US</v>
    <v>Map</v>
  </rv>
  <rv s="0">
    <v>536870912</v>
    <v>Gracias a Dios Department</v>
    <v>5e961e8d-37a6-4d49-b36b-67fa593570b4</v>
    <v>en-US</v>
    <v>Map</v>
  </rv>
  <rv s="0">
    <v>536870912</v>
    <v>Intibucá Department</v>
    <v>83637919-1982-883b-fa06-8f8cc8eba408</v>
    <v>en-US</v>
    <v>Map</v>
  </rv>
  <rv s="0">
    <v>536870912</v>
    <v>Bay Islands Department</v>
    <v>a7916980-24be-26fa-f6f7-b5c870314dd2</v>
    <v>en-US</v>
    <v>Map</v>
  </rv>
  <rv s="0">
    <v>536870912</v>
    <v>La Paz Department</v>
    <v>4cc8a0d3-6ccb-deaf-3e9c-319f9a1e4d3f</v>
    <v>en-US</v>
    <v>Map</v>
  </rv>
  <rv s="0">
    <v>536870912</v>
    <v>Lempira Department</v>
    <v>c3662aac-be52-19ab-0e84-e079f9c30864</v>
    <v>en-US</v>
    <v>Map</v>
  </rv>
  <rv s="0">
    <v>536870912</v>
    <v>Ocotepeque Department</v>
    <v>74343f94-e279-d415-175d-5ecd79a96e5b</v>
    <v>en-US</v>
    <v>Map</v>
  </rv>
  <rv s="0">
    <v>536870912</v>
    <v>Olancho Department</v>
    <v>54749fcd-cd46-1f0d-4ee5-eefcee6aaf96</v>
    <v>en-US</v>
    <v>Map</v>
  </rv>
  <rv s="0">
    <v>536870912</v>
    <v>Santa Bárbara Department, Honduras</v>
    <v>cc6de462-4175-44da-add7-a6a5a9da364b</v>
    <v>en-US</v>
    <v>Map</v>
  </rv>
  <rv s="0">
    <v>536870912</v>
    <v>Valle Department</v>
    <v>ae3793e1-89eb-3067-b403-878e49f4a98b</v>
    <v>en-US</v>
    <v>Map</v>
  </rv>
  <rv s="0">
    <v>536870912</v>
    <v>Yoro Department</v>
    <v>04bfd889-117b-4702-bd02-438635d2decb</v>
    <v>en-US</v>
    <v>Map</v>
  </rv>
  <rv s="3">
    <v>164</v>
  </rv>
  <rv s="1">
    <fb>0.17344472061159399</fb>
    <v>23</v>
  </rv>
  <rv s="1">
    <fb>5.38600015640259E-2</fb>
    <v>31</v>
  </rv>
  <rv s="1">
    <fb>5626433</fb>
    <v>24</v>
  </rv>
  <rv s="11">
    <v>#VALUE!</v>
    <v>en-US</v>
    <v>f3535c6b-be45-301f-41bd-b224e60e78e7</v>
    <v>536870912</v>
    <v>1</v>
    <v>313</v>
    <v>103</v>
    <v>Honduras</v>
    <v>19</v>
    <v>20</v>
    <v>Map</v>
    <v>21</v>
    <v>314</v>
    <v>HN</v>
    <v>2907</v>
    <v>2908</v>
    <v>2909</v>
    <v>2910</v>
    <v>2911</v>
    <v>2912</v>
    <v>2913</v>
    <v>2914</v>
    <v>2915</v>
    <v>HNL</v>
    <v>Honduras, officially the Republic of Honduras, is a country in Central America. It is bordered to the west by Guatemala, to the southwest by El Salvador, to the southeast by Nicaragua, to the south by the Pacific Ocean at the Gulf of Fonseca, ...</v>
    <v>2916</v>
    <v>2917</v>
    <v>2918</v>
    <v>2919</v>
    <v>2054</v>
    <v>2920</v>
    <v>2921</v>
    <v>2922</v>
    <v>2923</v>
    <v>2924</v>
    <v>2912</v>
    <v>2926</v>
    <v>2927</v>
    <v>2928</v>
    <v>2929</v>
    <v>2930</v>
    <v>Honduras</v>
    <v>National Anthem of Honduras</v>
    <v>2931</v>
    <v>Honduras</v>
    <v>2932</v>
    <v>2933</v>
    <v>2934</v>
    <v>2935</v>
    <v>2936</v>
    <v>2937</v>
    <v>2938</v>
    <v>1485</v>
    <v>698</v>
    <v>2939</v>
    <v>2866</v>
    <v>2958</v>
    <v>2959</v>
    <v>2085</v>
    <v>2936</v>
    <v>2960</v>
    <v>Honduras</v>
    <v>2961</v>
    <v>mdp/vdpid/106</v>
  </rv>
  <rv s="2">
    <v>45</v>
    <v>21</v>
    <v>310</v>
    <v>3</v>
    <v>0</v>
    <v>Image of Honduras</v>
  </rv>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46</v>
    <v>21</v>
    <v>316</v>
    <v>7</v>
    <v>0</v>
    <v>Image of Japan</v>
  </rv>
  <rv s="1">
    <fb>1.8</fb>
    <v>28</v>
  </rv>
  <rv s="0">
    <v>805306368</v>
    <v>Naruhito (Emperor)</v>
    <v>35e4e13c-2b05-0c5c-8b77-bb62a3da4162</v>
    <v>en-US</v>
    <v>Generic</v>
  </rv>
  <rv s="0">
    <v>805306368</v>
    <v>Shigeru Ishiba (Prime minister)</v>
    <v>dddb9483-d8cc-cc64-0dc3-9b8261eb78ec</v>
    <v>en-US</v>
    <v>Generic</v>
  </rv>
  <rv s="3">
    <v>165</v>
  </rv>
  <rv s="4">
    <v>https://www.bing.com/search?q=japan&amp;form=skydnc</v>
    <v>Learn more on Bing</v>
  </rv>
  <rv s="1">
    <fb>84.210975609756105</fb>
    <v>28</v>
  </rv>
  <rv s="1">
    <fb>6191073290000</fb>
    <v>30</v>
  </rv>
  <rv s="1">
    <fb>6.77</fb>
    <v>29</v>
  </rv>
  <rv s="3">
    <v>166</v>
  </rv>
  <rv s="1">
    <fb>0.13097521000000001</fb>
    <v>23</v>
  </rv>
  <rv s="1">
    <fb>2.4115000000000002</fb>
    <v>25</v>
  </rv>
  <rv s="1">
    <fb>125124989</fb>
    <v>24</v>
  </rv>
  <rv s="1">
    <fb>7.6999999999999999E-2</fb>
    <v>23</v>
  </rv>
  <rv s="1">
    <fb>0.16600000000000001</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167</v>
  </rv>
  <rv s="1">
    <fb>0.11905933830538</fb>
    <v>23</v>
  </rv>
  <rv s="3">
    <v>168</v>
  </rv>
  <rv s="1">
    <fb>0.46700000000000003</fb>
    <v>23</v>
  </rv>
  <rv s="1">
    <fb>2.2909998893737803E-2</fb>
    <v>31</v>
  </rv>
  <rv s="1">
    <fb>115782416</fb>
    <v>24</v>
  </rv>
  <rv s="6">
    <v>#VALUE!</v>
    <v>en-US</v>
    <v>130d0438-fafb-cd2d-1a9e-1dd9c5aa87a9</v>
    <v>536870912</v>
    <v>1</v>
    <v>319</v>
    <v>37</v>
    <v>Japan</v>
    <v>19</v>
    <v>20</v>
    <v>Map</v>
    <v>21</v>
    <v>320</v>
    <v>JP</v>
    <v>2965</v>
    <v>2966</v>
    <v>2967</v>
    <v>2968</v>
    <v>2969</v>
    <v>2970</v>
    <v>2971</v>
    <v>2972</v>
    <v>2973</v>
    <v>JPY</v>
    <v>Japan is an island country in East Asia. Located in the Pacific Ocean off the northeast coast of the Asian mainland, it is bordered on the west by the Sea of Japan and extends from the Sea of Okhotsk in the north to the East China Sea in the ...</v>
    <v>2974</v>
    <v>2975</v>
    <v>2976</v>
    <v>2977</v>
    <v>2978</v>
    <v>2979</v>
    <v>2980</v>
    <v>2981</v>
    <v>2982</v>
    <v>2983</v>
    <v>2970</v>
    <v>2986</v>
    <v>2987</v>
    <v>2988</v>
    <v>2989</v>
    <v>1526</v>
    <v>2990</v>
    <v>Japan</v>
    <v>Kimigayo</v>
    <v>2991</v>
    <v>日本国</v>
    <v>2992</v>
    <v>2993</v>
    <v>2994</v>
    <v>1425</v>
    <v>1483</v>
    <v>109</v>
    <v>1254</v>
    <v>2995</v>
    <v>36</v>
    <v>2996</v>
    <v>2997</v>
    <v>3043</v>
    <v>3044</v>
    <v>3045</v>
    <v>3046</v>
    <v>3047</v>
    <v>Japan</v>
    <v>3048</v>
    <v>mdp/vdpid/122</v>
  </rv>
  <rv s="2">
    <v>46</v>
    <v>21</v>
    <v>316</v>
    <v>3</v>
    <v>0</v>
    <v>Image of Japan</v>
  </rv>
  <rv s="0">
    <v>536870912</v>
    <v>Serbia</v>
    <v>bfde06a5-c040-2791-7779-ac3934ad56d8</v>
    <v>en-US</v>
    <v>Map</v>
  </rv>
  <rv s="1">
    <fb>0.39332266178824599</fb>
    <v>23</v>
  </rv>
  <rv s="1">
    <fb>88499</fb>
    <v>24</v>
  </rv>
  <rv s="1">
    <fb>9.1999999999999993</fb>
    <v>25</v>
  </rv>
  <rv s="1">
    <fb>381</fb>
    <v>26</v>
  </rv>
  <rv s="0">
    <v>536870912</v>
    <v>Belgrade</v>
    <v>23967a85-77cf-f376-c0a7-769fd8f12d6b</v>
    <v>en-US</v>
    <v>Map</v>
  </rv>
  <rv s="1">
    <fb>45221.444000000003</fb>
    <v>24</v>
  </rv>
  <rv s="1">
    <fb>143.997573551714</fb>
    <v>27</v>
  </rv>
  <rv s="1">
    <fb>1.8492298451108998E-2</fb>
    <v>23</v>
  </rv>
  <rv s="1">
    <fb>4271.7446669105002</fb>
    <v>24</v>
  </rv>
  <rv s="1">
    <fb>1.49</fb>
    <v>25</v>
  </rv>
  <rv s="1">
    <fb>0.31115937598259202</fb>
    <v>23</v>
  </rv>
  <rv s="1">
    <fb>83.871261642928602</fb>
    <v>28</v>
  </rv>
  <rv s="1">
    <fb>51409167350.754799</fb>
    <v>30</v>
  </rv>
  <rv s="1">
    <fb>1.0030193000000001</fb>
    <v>23</v>
  </rv>
  <rv s="1">
    <fb>0.67158659999999992</fb>
    <v>23</v>
  </rv>
  <rv s="2">
    <v>47</v>
    <v>21</v>
    <v>322</v>
    <v>7</v>
    <v>0</v>
    <v>Image of Serbia</v>
  </rv>
  <rv s="1">
    <fb>4.8</fb>
    <v>28</v>
  </rv>
  <rv s="0">
    <v>805306368</v>
    <v>Aleksandar Vučić (President)</v>
    <v>a8f29601-b0b4-618d-06c1-225d9c9ca494</v>
    <v>en-US</v>
    <v>Generic</v>
  </rv>
  <rv s="0">
    <v>805306368</v>
    <v>Miloš Vučević (Prime minister)</v>
    <v>645725cb-351a-434a-aed8-948fc5c558ee</v>
    <v>en-US</v>
    <v>Generic</v>
  </rv>
  <rv s="3">
    <v>169</v>
  </rv>
  <rv s="4">
    <v>https://www.bing.com/search?q=serbia&amp;form=skydnc</v>
    <v>Learn more on Bing</v>
  </rv>
  <rv s="1">
    <fb>75.539024390243895</fb>
    <v>28</v>
  </rv>
  <rv s="1">
    <fb>1791690000</fb>
    <v>30</v>
  </rv>
  <rv s="1">
    <fb>12</fb>
    <v>28</v>
  </rv>
  <rv s="1">
    <fb>1.57</fb>
    <v>29</v>
  </rv>
  <rv s="3">
    <v>170</v>
  </rv>
  <rv s="1">
    <fb>0.40587734609999998</fb>
    <v>23</v>
  </rv>
  <rv s="1">
    <fb>3.1131000000000002</fb>
    <v>25</v>
  </rv>
  <rv s="1">
    <fb>6760087</fb>
    <v>24</v>
  </rv>
  <rv s="1">
    <fb>0.25600000000000001</fb>
    <v>23</v>
  </rv>
  <rv s="1">
    <fb>0.41499999999999998</fb>
    <v>23</v>
  </rv>
  <rv s="1">
    <fb>0.54875999450683599</fb>
    <v>23</v>
  </rv>
  <rv s="0">
    <v>536870912</v>
    <v>Bor District</v>
    <v>9ffcfa10-55be-f82f-cb8e-afca4700a28b</v>
    <v>en-US</v>
    <v>Map</v>
  </rv>
  <rv s="0">
    <v>536870912</v>
    <v>Braničevo District</v>
    <v>a07c6be1-8fe2-69b2-2187-39748186c884</v>
    <v>en-US</v>
    <v>Map</v>
  </rv>
  <rv s="0">
    <v>536870912</v>
    <v>Zaječar District</v>
    <v>bf30904f-9632-457e-b741-4ebc19b76af2</v>
    <v>en-US</v>
    <v>Map</v>
  </rv>
  <rv s="0">
    <v>536870912</v>
    <v>West Bačka District</v>
    <v>49dfcc2e-e5c1-4a00-a596-a4b6abe539fd</v>
    <v>en-US</v>
    <v>Map</v>
  </rv>
  <rv s="0">
    <v>536870912</v>
    <v>Zlatibor District</v>
    <v>7ed061c8-ef14-f3ec-edf4-656d71063c27</v>
    <v>en-US</v>
    <v>Map</v>
  </rv>
  <rv s="0">
    <v>536870912</v>
    <v>Jablanica District</v>
    <v>16236efd-1eca-d77d-cde8-546ed74407d7</v>
    <v>en-US</v>
    <v>Map</v>
  </rv>
  <rv s="0">
    <v>536870912</v>
    <v>South Banat District</v>
    <v>1cb5c728-aa24-9ee2-4304-f3f4d7f9bc36</v>
    <v>en-US</v>
    <v>Map</v>
  </rv>
  <rv s="0">
    <v>536870912</v>
    <v>South Bačka District</v>
    <v>3b6bf260-5f36-2f33-f93c-25ddc78dc37b</v>
    <v>en-US</v>
    <v>Map</v>
  </rv>
  <rv s="0">
    <v>536870912</v>
    <v>Kolubara District</v>
    <v>4cfa6c33-d52d-c0e0-d59e-4b97a24548aa</v>
    <v>en-US</v>
    <v>Map</v>
  </rv>
  <rv s="0">
    <v>536870912</v>
    <v>Mačva District</v>
    <v>3700cd33-66a3-4307-a6a4-0052c5a1a9cd</v>
    <v>en-US</v>
    <v>Map</v>
  </rv>
  <rv s="0">
    <v>536870912</v>
    <v>Moravica District</v>
    <v>89880f9b-171d-cf8e-1a53-c8d66d717f83</v>
    <v>en-US</v>
    <v>Map</v>
  </rv>
  <rv s="0">
    <v>536870912</v>
    <v>Nišava District</v>
    <v>56d3daa6-6c64-4b4e-b95a-92901df4991a</v>
    <v>en-US</v>
    <v>Map</v>
  </rv>
  <rv s="0">
    <v>536870912</v>
    <v>Pirot District</v>
    <v>0b1d3d41-522e-85f6-2839-c1a73f48bfa2</v>
    <v>en-US</v>
    <v>Map</v>
  </rv>
  <rv s="0">
    <v>536870912</v>
    <v>Podunavlje District</v>
    <v>1bc538cc-ed8c-0a64-aaef-80eebb06eed4</v>
    <v>en-US</v>
    <v>Map</v>
  </rv>
  <rv s="0">
    <v>536870912</v>
    <v>Pomoravlje District</v>
    <v>03b3cb07-b7d9-574d-5772-db151f2e2919</v>
    <v>en-US</v>
    <v>Map</v>
  </rv>
  <rv s="0">
    <v>536870912</v>
    <v>Pčinja District</v>
    <v>553f9237-b6f3-4d59-b448-e891febf795f</v>
    <v>en-US</v>
    <v>Map</v>
  </rv>
  <rv s="0">
    <v>536870912</v>
    <v>Rasina District</v>
    <v>b07edd1c-21ee-ac36-f59e-703020e74185</v>
    <v>en-US</v>
    <v>Map</v>
  </rv>
  <rv s="0">
    <v>536870912</v>
    <v>Raška District</v>
    <v>8c653eb9-14b9-489c-ab00-f38e993137fc</v>
    <v>en-US</v>
    <v>Map</v>
  </rv>
  <rv s="0">
    <v>536870912</v>
    <v>North Banat District</v>
    <v>412e968b-7dc0-3592-2176-e8fa00bf85fa</v>
    <v>en-US</v>
    <v>Map</v>
  </rv>
  <rv s="0">
    <v>536870912</v>
    <v>North Bačka District</v>
    <v>4264da16-3531-4cc1-99c5-0559ace6880f</v>
    <v>en-US</v>
    <v>Map</v>
  </rv>
  <rv s="0">
    <v>536870912</v>
    <v>Central Banat District</v>
    <v>db1a60f4-4d29-db90-281b-e46d486156c9</v>
    <v>en-US</v>
    <v>Map</v>
  </rv>
  <rv s="0">
    <v>536870912</v>
    <v>Srem District</v>
    <v>794a5a1f-3b8d-b0db-5924-9e66b4a9fb3f</v>
    <v>en-US</v>
    <v>Map</v>
  </rv>
  <rv s="0">
    <v>536870912</v>
    <v>Toplica District</v>
    <v>55dcdea5-a7b1-53a8-08e0-41bb67c07978</v>
    <v>en-US</v>
    <v>Map</v>
  </rv>
  <rv s="0">
    <v>536870912</v>
    <v>Šumadija District</v>
    <v>5ab530fd-7899-457b-a64a-7737385a8eb7</v>
    <v>en-US</v>
    <v>Map</v>
  </rv>
  <rv s="3">
    <v>171</v>
  </rv>
  <rv s="1">
    <fb>0.185525002126608</fb>
    <v>23</v>
  </rv>
  <rv s="1">
    <fb>0.12685999870300299</fb>
    <v>31</v>
  </rv>
  <rv s="1">
    <fb>3907243</fb>
    <v>24</v>
  </rv>
  <rv s="6">
    <v>#VALUE!</v>
    <v>en-US</v>
    <v>bfde06a5-c040-2791-7779-ac3934ad56d8</v>
    <v>536870912</v>
    <v>1</v>
    <v>325</v>
    <v>37</v>
    <v>Serbia</v>
    <v>19</v>
    <v>20</v>
    <v>Map</v>
    <v>21</v>
    <v>326</v>
    <v>RS</v>
    <v>3052</v>
    <v>3053</v>
    <v>1502</v>
    <v>3054</v>
    <v>3055</v>
    <v>3056</v>
    <v>3057</v>
    <v>3058</v>
    <v>3059</v>
    <v>RSD</v>
    <v>Serbia, officially the Republic of Serbia, is a landlocked country at the crossroads of Southeast and Central Europe, located in the Balkans and the Pannonian Plain. It borders Hungary to the north, Romania to the northeast, Bulgaria to the ...</v>
    <v>3060</v>
    <v>3061</v>
    <v>3062</v>
    <v>3063</v>
    <v>2406</v>
    <v>3064</v>
    <v>3065</v>
    <v>3066</v>
    <v>3067</v>
    <v>3068</v>
    <v>3056</v>
    <v>3071</v>
    <v>3072</v>
    <v>3073</v>
    <v>3074</v>
    <v>3075</v>
    <v>3076</v>
    <v>Serbia</v>
    <v>Bože pravde</v>
    <v>3077</v>
    <v>Србија</v>
    <v>3078</v>
    <v>3079</v>
    <v>3080</v>
    <v>343</v>
    <v>3081</v>
    <v>3082</v>
    <v>2865</v>
    <v>2426</v>
    <v>1579</v>
    <v>806</v>
    <v>3083</v>
    <v>3108</v>
    <v>3109</v>
    <v>770</v>
    <v>2552</v>
    <v>3110</v>
    <v>Serbia</v>
    <v>3111</v>
    <v>mdp/vdpid/271</v>
  </rv>
  <rv s="2">
    <v>47</v>
    <v>21</v>
    <v>322</v>
    <v>3</v>
    <v>0</v>
    <v>Image of Serbia</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4">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CPI</v>
      <v t="s">CPI Change (%)</v>
      <v t="s">Population: Labor force participation (%)</v>
      <v t="s">Unemployment rate</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7">
    <spb s="0">
      <v xml:space="preserve">data.worldbank.org	</v>
      <v xml:space="preserve">	</v>
      <v xml:space="preserve">http://data.worldbank.org/indicator/FP.CPI.TOTL	</v>
      <v xml:space="preserve">	</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9">
      <v>0</v>
      <v>32</v>
      <v>33</v>
      <v>33</v>
      <v>3</v>
      <v>33</v>
      <v>33</v>
      <v>33</v>
      <v>34</v>
      <v>33</v>
      <v>33</v>
      <v>34</v>
      <v>33</v>
      <v>33</v>
      <v>35</v>
      <v>6</v>
      <v>32</v>
      <v>35</v>
      <v>7</v>
      <v>33</v>
      <v>35</v>
      <v>8</v>
      <v>9</v>
      <v>10</v>
      <v>35</v>
      <v>35</v>
      <v>33</v>
      <v>35</v>
      <v>11</v>
      <v>12</v>
      <v>13</v>
      <v>14</v>
      <v>35</v>
      <v>32</v>
      <v>35</v>
      <v>35</v>
      <v>35</v>
      <v>35</v>
      <v>35</v>
      <v>35</v>
      <v>35</v>
      <v>35</v>
      <v>35</v>
      <v>35</v>
      <v>15</v>
    </spb>
    <spb s="2">
      <v>1</v>
      <v>Name</v>
      <v>LearnMoreOnLink</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10">
      <v>0</v>
      <v>39</v>
      <v>40</v>
      <v>40</v>
      <v>3</v>
      <v>40</v>
      <v>40</v>
      <v>40</v>
      <v>41</v>
      <v>40</v>
      <v>40</v>
      <v>41</v>
      <v>40</v>
      <v>40</v>
      <v>42</v>
      <v>6</v>
      <v>39</v>
      <v>42</v>
      <v>7</v>
      <v>40</v>
      <v>8</v>
      <v>9</v>
      <v>10</v>
      <v>42</v>
      <v>42</v>
      <v>40</v>
      <v>42</v>
      <v>11</v>
      <v>12</v>
      <v>13</v>
      <v>14</v>
      <v>42</v>
      <v>39</v>
      <v>42</v>
      <v>42</v>
      <v>42</v>
      <v>42</v>
      <v>42</v>
      <v>42</v>
      <v>42</v>
      <v>42</v>
      <v>42</v>
      <v>42</v>
      <v>15</v>
    </spb>
    <spb s="2">
      <v>2</v>
      <v>Name</v>
      <v>LearnMoreOnLink</v>
    </spb>
    <spb s="11">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12">
      <v>0</v>
      <v>46</v>
      <v>47</v>
      <v>47</v>
      <v>3</v>
      <v>47</v>
      <v>47</v>
      <v>47</v>
      <v>48</v>
      <v>47</v>
      <v>47</v>
      <v>47</v>
      <v>47</v>
      <v>49</v>
      <v>6</v>
      <v>46</v>
      <v>49</v>
      <v>7</v>
      <v>47</v>
      <v>49</v>
      <v>8</v>
      <v>9</v>
      <v>10</v>
      <v>49</v>
      <v>49</v>
      <v>47</v>
      <v>49</v>
      <v>11</v>
      <v>12</v>
      <v>13</v>
      <v>14</v>
      <v>49</v>
      <v>46</v>
      <v>49</v>
      <v>49</v>
      <v>49</v>
      <v>15</v>
    </spb>
    <spb s="2">
      <v>3</v>
      <v>Name</v>
      <v>LearnMoreOnLink</v>
    </spb>
    <spb s="13">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10">
      <v>0</v>
      <v>53</v>
      <v>54</v>
      <v>54</v>
      <v>3</v>
      <v>54</v>
      <v>54</v>
      <v>54</v>
      <v>55</v>
      <v>54</v>
      <v>54</v>
      <v>55</v>
      <v>54</v>
      <v>54</v>
      <v>56</v>
      <v>6</v>
      <v>53</v>
      <v>56</v>
      <v>7</v>
      <v>54</v>
      <v>8</v>
      <v>9</v>
      <v>10</v>
      <v>56</v>
      <v>56</v>
      <v>54</v>
      <v>56</v>
      <v>11</v>
      <v>12</v>
      <v>13</v>
      <v>14</v>
      <v>56</v>
      <v>53</v>
      <v>56</v>
      <v>56</v>
      <v>56</v>
      <v>56</v>
      <v>56</v>
      <v>56</v>
      <v>56</v>
      <v>56</v>
      <v>56</v>
      <v>56</v>
      <v>15</v>
    </spb>
    <spb s="11">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9">
      <v>0</v>
      <v>59</v>
      <v>60</v>
      <v>60</v>
      <v>3</v>
      <v>60</v>
      <v>60</v>
      <v>60</v>
      <v>61</v>
      <v>60</v>
      <v>60</v>
      <v>61</v>
      <v>60</v>
      <v>60</v>
      <v>62</v>
      <v>6</v>
      <v>63</v>
      <v>62</v>
      <v>7</v>
      <v>60</v>
      <v>62</v>
      <v>8</v>
      <v>9</v>
      <v>10</v>
      <v>62</v>
      <v>62</v>
      <v>60</v>
      <v>62</v>
      <v>11</v>
      <v>12</v>
      <v>13</v>
      <v>14</v>
      <v>62</v>
      <v>63</v>
      <v>62</v>
      <v>62</v>
      <v>62</v>
      <v>62</v>
      <v>62</v>
      <v>62</v>
      <v>62</v>
      <v>62</v>
      <v>62</v>
      <v>62</v>
      <v>15</v>
    </spb>
    <spb s="7">
      <v>2019</v>
      <v>2017</v>
      <v>square km</v>
      <v>per thousand (2018)</v>
      <v>2025</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https://en.wikipedia.org/wiki/New_Caledonia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14">
      <v>0</v>
      <v>66</v>
      <v>67</v>
      <v>67</v>
      <v>3</v>
      <v>67</v>
      <v>67</v>
      <v>67</v>
      <v>68</v>
      <v>67</v>
      <v>67</v>
      <v>67</v>
      <v>67</v>
      <v>69</v>
      <v>6</v>
      <v>7</v>
      <v>67</v>
      <v>9</v>
      <v>69</v>
      <v>69</v>
      <v>67</v>
      <v>69</v>
      <v>11</v>
      <v>12</v>
      <v>15</v>
    </spb>
    <spb s="2">
      <v>4</v>
      <v>Name</v>
      <v>LearnMoreOnLink</v>
    </spb>
    <spb s="15">
      <v>2016</v>
      <v>2000</v>
      <v>square km</v>
      <v>per thousand (2018)</v>
      <v>2022</v>
      <v>2016</v>
      <v>2018</v>
      <v>years (2018)</v>
      <v>2019</v>
      <v>2016</v>
      <v>2019</v>
      <v>2016</v>
      <v>1999</v>
      <v>kilotons per year (2016)</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16">
      <v>0</v>
      <v>73</v>
      <v>74</v>
      <v>74</v>
      <v>3</v>
      <v>74</v>
      <v>74</v>
      <v>74</v>
      <v>75</v>
      <v>74</v>
      <v>74</v>
      <v>75</v>
      <v>74</v>
      <v>74</v>
      <v>76</v>
      <v>6</v>
      <v>73</v>
      <v>76</v>
      <v>7</v>
      <v>74</v>
      <v>76</v>
      <v>8</v>
      <v>9</v>
      <v>10</v>
      <v>76</v>
      <v>76</v>
      <v>74</v>
      <v>76</v>
      <v>11</v>
      <v>12</v>
      <v>13</v>
      <v>76</v>
      <v>76</v>
      <v>76</v>
      <v>76</v>
      <v>76</v>
      <v>76</v>
      <v>76</v>
      <v>76</v>
      <v>76</v>
      <v>76</v>
      <v>15</v>
    </spb>
    <spb s="2">
      <v>5</v>
      <v>Name</v>
      <v>LearnMoreOnLink</v>
    </spb>
    <spb s="17">
      <v>2019</v>
      <v>2019</v>
      <v>square km</v>
      <v>per thousand (2018)</v>
      <v>2025</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9">
      <v>0</v>
      <v>80</v>
      <v>81</v>
      <v>81</v>
      <v>3</v>
      <v>81</v>
      <v>81</v>
      <v>81</v>
      <v>82</v>
      <v>81</v>
      <v>81</v>
      <v>82</v>
      <v>81</v>
      <v>81</v>
      <v>83</v>
      <v>6</v>
      <v>80</v>
      <v>83</v>
      <v>7</v>
      <v>81</v>
      <v>83</v>
      <v>8</v>
      <v>9</v>
      <v>10</v>
      <v>83</v>
      <v>83</v>
      <v>81</v>
      <v>83</v>
      <v>11</v>
      <v>12</v>
      <v>13</v>
      <v>14</v>
      <v>83</v>
      <v>80</v>
      <v>83</v>
      <v>83</v>
      <v>83</v>
      <v>83</v>
      <v>83</v>
      <v>83</v>
      <v>83</v>
      <v>83</v>
      <v>83</v>
      <v>83</v>
      <v>15</v>
    </spb>
    <spb s="7">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9">
      <v>0</v>
      <v>86</v>
      <v>87</v>
      <v>87</v>
      <v>3</v>
      <v>87</v>
      <v>87</v>
      <v>87</v>
      <v>88</v>
      <v>87</v>
      <v>87</v>
      <v>88</v>
      <v>87</v>
      <v>87</v>
      <v>89</v>
      <v>6</v>
      <v>86</v>
      <v>89</v>
      <v>7</v>
      <v>87</v>
      <v>89</v>
      <v>8</v>
      <v>9</v>
      <v>10</v>
      <v>89</v>
      <v>89</v>
      <v>87</v>
      <v>89</v>
      <v>11</v>
      <v>12</v>
      <v>13</v>
      <v>14</v>
      <v>89</v>
      <v>86</v>
      <v>89</v>
      <v>89</v>
      <v>89</v>
      <v>89</v>
      <v>89</v>
      <v>89</v>
      <v>89</v>
      <v>89</v>
      <v>89</v>
      <v>89</v>
      <v>15</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1">
      <v>0</v>
      <v>92</v>
      <v>93</v>
      <v>93</v>
      <v>3</v>
      <v>93</v>
      <v>93</v>
      <v>93</v>
      <v>94</v>
      <v>93</v>
      <v>93</v>
      <v>93</v>
      <v>93</v>
      <v>95</v>
      <v>6</v>
      <v>92</v>
      <v>95</v>
      <v>7</v>
      <v>93</v>
      <v>95</v>
      <v>8</v>
      <v>9</v>
      <v>10</v>
      <v>95</v>
      <v>95</v>
      <v>93</v>
      <v>95</v>
      <v>11</v>
      <v>12</v>
      <v>13</v>
      <v>14</v>
      <v>95</v>
      <v>92</v>
      <v>95</v>
      <v>95</v>
      <v>95</v>
      <v>95</v>
      <v>95</v>
      <v>95</v>
      <v>95</v>
      <v>95</v>
      <v>95</v>
      <v>95</v>
      <v>15</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8">
      <v>0</v>
      <v>98</v>
      <v>99</v>
      <v>99</v>
      <v>3</v>
      <v>99</v>
      <v>99</v>
      <v>99</v>
      <v>100</v>
      <v>99</v>
      <v>99</v>
      <v>100</v>
      <v>99</v>
      <v>99</v>
      <v>101</v>
      <v>6</v>
      <v>98</v>
      <v>101</v>
      <v>7</v>
      <v>99</v>
      <v>101</v>
      <v>8</v>
      <v>9</v>
      <v>10</v>
      <v>101</v>
      <v>101</v>
      <v>99</v>
      <v>101</v>
      <v>11</v>
      <v>12</v>
      <v>13</v>
      <v>14</v>
      <v>101</v>
      <v>101</v>
      <v>101</v>
      <v>101</v>
      <v>101</v>
      <v>101</v>
      <v>101</v>
      <v>101</v>
      <v>101</v>
      <v>101</v>
      <v>101</v>
      <v>15</v>
    </spb>
    <spb s="2">
      <v>6</v>
      <v>Name</v>
      <v>LearnMoreOnLink</v>
    </spb>
    <spb s="19">
      <v>2019</v>
      <v>2019</v>
      <v>square km</v>
      <v>per thousand (2018)</v>
      <v>2025</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0</v>
      <v>105</v>
      <v>106</v>
      <v>106</v>
      <v>3</v>
      <v>106</v>
      <v>106</v>
      <v>106</v>
      <v>107</v>
      <v>106</v>
      <v>106</v>
      <v>107</v>
      <v>106</v>
      <v>106</v>
      <v>108</v>
      <v>6</v>
      <v>105</v>
      <v>108</v>
      <v>7</v>
      <v>106</v>
      <v>108</v>
      <v>8</v>
      <v>9</v>
      <v>10</v>
      <v>108</v>
      <v>108</v>
      <v>106</v>
      <v>108</v>
      <v>11</v>
      <v>12</v>
      <v>13</v>
      <v>14</v>
      <v>108</v>
      <v>105</v>
      <v>108</v>
      <v>108</v>
      <v>108</v>
      <v>108</v>
      <v>108</v>
      <v>108</v>
      <v>108</v>
      <v>108</v>
      <v>108</v>
      <v>108</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20">
      <v>0</v>
      <v>111</v>
      <v>112</v>
      <v>112</v>
      <v>3</v>
      <v>112</v>
      <v>112</v>
      <v>112</v>
      <v>113</v>
      <v>112</v>
      <v>112</v>
      <v>113</v>
      <v>112</v>
      <v>112</v>
      <v>114</v>
      <v>6</v>
      <v>111</v>
      <v>114</v>
      <v>7</v>
      <v>112</v>
      <v>8</v>
      <v>9</v>
      <v>10</v>
      <v>114</v>
      <v>114</v>
      <v>112</v>
      <v>114</v>
      <v>11</v>
      <v>12</v>
      <v>13</v>
      <v>14</v>
      <v>114</v>
      <v>114</v>
      <v>114</v>
      <v>114</v>
      <v>114</v>
      <v>114</v>
      <v>114</v>
      <v>114</v>
      <v>114</v>
      <v>114</v>
      <v>114</v>
      <v>15</v>
    </spb>
    <spb s="2">
      <v>7</v>
      <v>Name</v>
      <v>LearnMoreOnLink</v>
    </spb>
    <spb s="21">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22">
      <v>0</v>
      <v>118</v>
      <v>119</v>
      <v>119</v>
      <v>3</v>
      <v>119</v>
      <v>119</v>
      <v>119</v>
      <v>120</v>
      <v>119</v>
      <v>119</v>
      <v>120</v>
      <v>119</v>
      <v>119</v>
      <v>121</v>
      <v>6</v>
      <v>118</v>
      <v>121</v>
      <v>7</v>
      <v>119</v>
      <v>121</v>
      <v>8</v>
      <v>9</v>
      <v>10</v>
      <v>121</v>
      <v>121</v>
      <v>119</v>
      <v>121</v>
      <v>11</v>
      <v>12</v>
      <v>13</v>
      <v>14</v>
      <v>121</v>
      <v>118</v>
      <v>121</v>
      <v>121</v>
      <v>121</v>
      <v>15</v>
    </spb>
    <spb s="2">
      <v>8</v>
      <v>Name</v>
      <v>LearnMoreOnLink</v>
    </spb>
    <spb s="13">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9">
      <v>0</v>
      <v>125</v>
      <v>126</v>
      <v>126</v>
      <v>3</v>
      <v>126</v>
      <v>126</v>
      <v>126</v>
      <v>127</v>
      <v>126</v>
      <v>126</v>
      <v>127</v>
      <v>126</v>
      <v>126</v>
      <v>128</v>
      <v>6</v>
      <v>125</v>
      <v>128</v>
      <v>7</v>
      <v>126</v>
      <v>128</v>
      <v>8</v>
      <v>9</v>
      <v>10</v>
      <v>128</v>
      <v>128</v>
      <v>126</v>
      <v>128</v>
      <v>11</v>
      <v>12</v>
      <v>13</v>
      <v>14</v>
      <v>128</v>
      <v>125</v>
      <v>128</v>
      <v>128</v>
      <v>128</v>
      <v>128</v>
      <v>128</v>
      <v>128</v>
      <v>128</v>
      <v>128</v>
      <v>128</v>
      <v>128</v>
      <v>15</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18">
      <v>0</v>
      <v>131</v>
      <v>132</v>
      <v>132</v>
      <v>3</v>
      <v>132</v>
      <v>132</v>
      <v>132</v>
      <v>133</v>
      <v>132</v>
      <v>132</v>
      <v>133</v>
      <v>132</v>
      <v>132</v>
      <v>134</v>
      <v>6</v>
      <v>131</v>
      <v>134</v>
      <v>7</v>
      <v>132</v>
      <v>134</v>
      <v>8</v>
      <v>9</v>
      <v>10</v>
      <v>134</v>
      <v>134</v>
      <v>132</v>
      <v>134</v>
      <v>11</v>
      <v>12</v>
      <v>13</v>
      <v>14</v>
      <v>134</v>
      <v>134</v>
      <v>134</v>
      <v>134</v>
      <v>134</v>
      <v>134</v>
      <v>134</v>
      <v>134</v>
      <v>134</v>
      <v>134</v>
      <v>134</v>
      <v>15</v>
    </spb>
    <spb s="2">
      <v>9</v>
      <v>Name</v>
      <v>LearnMoreOnLink</v>
    </spb>
    <spb s="19">
      <v>2019</v>
      <v>2019</v>
      <v>square km</v>
      <v>per thousand (2018)</v>
      <v>2025</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
      <v>0</v>
      <v>138</v>
      <v>139</v>
      <v>139</v>
      <v>3</v>
      <v>139</v>
      <v>139</v>
      <v>139</v>
      <v>140</v>
      <v>139</v>
      <v>139</v>
      <v>139</v>
      <v>139</v>
      <v>141</v>
      <v>6</v>
      <v>138</v>
      <v>141</v>
      <v>7</v>
      <v>139</v>
      <v>141</v>
      <v>8</v>
      <v>9</v>
      <v>10</v>
      <v>141</v>
      <v>141</v>
      <v>139</v>
      <v>141</v>
      <v>11</v>
      <v>12</v>
      <v>13</v>
      <v>14</v>
      <v>141</v>
      <v>138</v>
      <v>141</v>
      <v>141</v>
      <v>141</v>
      <v>141</v>
      <v>141</v>
      <v>141</v>
      <v>141</v>
      <v>141</v>
      <v>141</v>
      <v>141</v>
      <v>15</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9">
      <v>0</v>
      <v>144</v>
      <v>145</v>
      <v>145</v>
      <v>3</v>
      <v>145</v>
      <v>145</v>
      <v>145</v>
      <v>146</v>
      <v>145</v>
      <v>145</v>
      <v>146</v>
      <v>145</v>
      <v>145</v>
      <v>147</v>
      <v>6</v>
      <v>144</v>
      <v>147</v>
      <v>7</v>
      <v>145</v>
      <v>147</v>
      <v>8</v>
      <v>9</v>
      <v>10</v>
      <v>147</v>
      <v>147</v>
      <v>145</v>
      <v>147</v>
      <v>11</v>
      <v>12</v>
      <v>13</v>
      <v>14</v>
      <v>147</v>
      <v>144</v>
      <v>147</v>
      <v>147</v>
      <v>147</v>
      <v>147</v>
      <v>147</v>
      <v>147</v>
      <v>147</v>
      <v>147</v>
      <v>147</v>
      <v>147</v>
      <v>15</v>
    </spb>
    <spb s="7">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23">
      <v>150</v>
      <v>151</v>
      <v>151</v>
      <v>3</v>
      <v>151</v>
      <v>151</v>
      <v>151</v>
      <v>152</v>
      <v>151</v>
      <v>151</v>
      <v>152</v>
      <v>151</v>
      <v>151</v>
      <v>6</v>
      <v>150</v>
      <v>153</v>
      <v>7</v>
      <v>151</v>
      <v>153</v>
      <v>8</v>
      <v>9</v>
      <v>10</v>
      <v>153</v>
      <v>153</v>
      <v>151</v>
      <v>153</v>
      <v>11</v>
      <v>12</v>
      <v>13</v>
      <v>14</v>
      <v>153</v>
      <v>153</v>
      <v>153</v>
      <v>153</v>
      <v>153</v>
      <v>153</v>
      <v>153</v>
      <v>153</v>
      <v>153</v>
      <v>153</v>
      <v>153</v>
      <v>15</v>
    </spb>
    <spb s="2">
      <v>10</v>
      <v>Name</v>
      <v>LearnMoreOnLink</v>
    </spb>
    <spb s="24">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9">
      <v>0</v>
      <v>157</v>
      <v>158</v>
      <v>158</v>
      <v>3</v>
      <v>158</v>
      <v>158</v>
      <v>158</v>
      <v>159</v>
      <v>158</v>
      <v>158</v>
      <v>159</v>
      <v>158</v>
      <v>158</v>
      <v>160</v>
      <v>6</v>
      <v>157</v>
      <v>160</v>
      <v>7</v>
      <v>158</v>
      <v>160</v>
      <v>8</v>
      <v>9</v>
      <v>10</v>
      <v>160</v>
      <v>160</v>
      <v>158</v>
      <v>160</v>
      <v>11</v>
      <v>12</v>
      <v>13</v>
      <v>14</v>
      <v>160</v>
      <v>157</v>
      <v>160</v>
      <v>160</v>
      <v>160</v>
      <v>160</v>
      <v>160</v>
      <v>160</v>
      <v>160</v>
      <v>160</v>
      <v>160</v>
      <v>160</v>
      <v>15</v>
    </spb>
    <spb s="7">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25">
      <v>163</v>
      <v>164</v>
      <v>164</v>
      <v>3</v>
      <v>164</v>
      <v>164</v>
      <v>164</v>
      <v>165</v>
      <v>164</v>
      <v>164</v>
      <v>165</v>
      <v>164</v>
      <v>164</v>
      <v>6</v>
      <v>163</v>
      <v>7</v>
      <v>164</v>
      <v>8</v>
      <v>9</v>
      <v>10</v>
      <v>166</v>
      <v>166</v>
      <v>164</v>
      <v>166</v>
      <v>11</v>
      <v>12</v>
      <v>13</v>
      <v>14</v>
      <v>166</v>
      <v>166</v>
      <v>166</v>
      <v>15</v>
    </spb>
    <spb s="2">
      <v>11</v>
      <v>Name</v>
      <v>LearnMoreOnLink</v>
    </spb>
    <spb s="26">
      <v>2018</v>
      <v>square km</v>
      <v>per thousand (2018)</v>
      <v>2022</v>
      <v>2018</v>
      <v>per liter (2014)</v>
      <v>years (2018)</v>
      <v>per thousand (2018)</v>
      <v>2019</v>
      <v>2017</v>
      <v>2016</v>
      <v>2019</v>
      <v>2016</v>
      <v>2018</v>
      <v>kilotons per year (2016)</v>
      <v>deaths per 100,000 (2017)</v>
      <v>kWh (2014)</v>
      <v>2014</v>
      <v>2018</v>
      <v>2018</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18">
      <v>0</v>
      <v>170</v>
      <v>171</v>
      <v>171</v>
      <v>3</v>
      <v>171</v>
      <v>171</v>
      <v>171</v>
      <v>172</v>
      <v>171</v>
      <v>171</v>
      <v>172</v>
      <v>171</v>
      <v>171</v>
      <v>173</v>
      <v>6</v>
      <v>170</v>
      <v>173</v>
      <v>7</v>
      <v>171</v>
      <v>173</v>
      <v>8</v>
      <v>9</v>
      <v>10</v>
      <v>173</v>
      <v>173</v>
      <v>171</v>
      <v>173</v>
      <v>11</v>
      <v>12</v>
      <v>13</v>
      <v>14</v>
      <v>173</v>
      <v>173</v>
      <v>173</v>
      <v>173</v>
      <v>173</v>
      <v>173</v>
      <v>173</v>
      <v>173</v>
      <v>173</v>
      <v>173</v>
      <v>173</v>
      <v>15</v>
    </spb>
    <spb s="19">
      <v>2019</v>
      <v>2019</v>
      <v>square km</v>
      <v>per thousand (2018)</v>
      <v>2025</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18">
      <v>0</v>
      <v>176</v>
      <v>177</v>
      <v>177</v>
      <v>3</v>
      <v>177</v>
      <v>177</v>
      <v>177</v>
      <v>178</v>
      <v>177</v>
      <v>177</v>
      <v>178</v>
      <v>177</v>
      <v>177</v>
      <v>179</v>
      <v>6</v>
      <v>176</v>
      <v>179</v>
      <v>7</v>
      <v>177</v>
      <v>179</v>
      <v>8</v>
      <v>9</v>
      <v>10</v>
      <v>179</v>
      <v>179</v>
      <v>177</v>
      <v>179</v>
      <v>11</v>
      <v>12</v>
      <v>13</v>
      <v>14</v>
      <v>179</v>
      <v>179</v>
      <v>179</v>
      <v>179</v>
      <v>179</v>
      <v>179</v>
      <v>179</v>
      <v>179</v>
      <v>179</v>
      <v>179</v>
      <v>179</v>
      <v>15</v>
    </spb>
    <spb s="19">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9">
      <v>0</v>
      <v>182</v>
      <v>183</v>
      <v>183</v>
      <v>3</v>
      <v>183</v>
      <v>183</v>
      <v>183</v>
      <v>184</v>
      <v>183</v>
      <v>183</v>
      <v>184</v>
      <v>183</v>
      <v>183</v>
      <v>185</v>
      <v>6</v>
      <v>182</v>
      <v>185</v>
      <v>7</v>
      <v>183</v>
      <v>185</v>
      <v>8</v>
      <v>9</v>
      <v>10</v>
      <v>185</v>
      <v>185</v>
      <v>183</v>
      <v>185</v>
      <v>11</v>
      <v>12</v>
      <v>13</v>
      <v>14</v>
      <v>185</v>
      <v>182</v>
      <v>185</v>
      <v>185</v>
      <v>185</v>
      <v>185</v>
      <v>185</v>
      <v>185</v>
      <v>185</v>
      <v>185</v>
      <v>185</v>
      <v>185</v>
      <v>15</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16">
      <v>0</v>
      <v>188</v>
      <v>189</v>
      <v>189</v>
      <v>3</v>
      <v>189</v>
      <v>189</v>
      <v>189</v>
      <v>190</v>
      <v>189</v>
      <v>189</v>
      <v>190</v>
      <v>189</v>
      <v>189</v>
      <v>191</v>
      <v>6</v>
      <v>188</v>
      <v>191</v>
      <v>7</v>
      <v>189</v>
      <v>191</v>
      <v>8</v>
      <v>9</v>
      <v>10</v>
      <v>191</v>
      <v>191</v>
      <v>189</v>
      <v>191</v>
      <v>11</v>
      <v>12</v>
      <v>13</v>
      <v>191</v>
      <v>191</v>
      <v>191</v>
      <v>191</v>
      <v>191</v>
      <v>191</v>
      <v>191</v>
      <v>191</v>
      <v>191</v>
      <v>191</v>
      <v>15</v>
    </spb>
    <spb s="17">
      <v>2019</v>
      <v>2019</v>
      <v>square km</v>
      <v>per thousand (2018)</v>
      <v>2025</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22">
      <v>0</v>
      <v>194</v>
      <v>195</v>
      <v>195</v>
      <v>3</v>
      <v>195</v>
      <v>195</v>
      <v>195</v>
      <v>196</v>
      <v>195</v>
      <v>195</v>
      <v>196</v>
      <v>195</v>
      <v>195</v>
      <v>197</v>
      <v>6</v>
      <v>194</v>
      <v>197</v>
      <v>7</v>
      <v>195</v>
      <v>197</v>
      <v>8</v>
      <v>9</v>
      <v>10</v>
      <v>197</v>
      <v>197</v>
      <v>195</v>
      <v>197</v>
      <v>11</v>
      <v>12</v>
      <v>13</v>
      <v>14</v>
      <v>197</v>
      <v>194</v>
      <v>197</v>
      <v>197</v>
      <v>197</v>
      <v>15</v>
    </spb>
    <spb s="13">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9">
      <v>0</v>
      <v>200</v>
      <v>201</v>
      <v>201</v>
      <v>3</v>
      <v>201</v>
      <v>201</v>
      <v>201</v>
      <v>202</v>
      <v>201</v>
      <v>201</v>
      <v>202</v>
      <v>201</v>
      <v>201</v>
      <v>203</v>
      <v>6</v>
      <v>200</v>
      <v>203</v>
      <v>7</v>
      <v>201</v>
      <v>203</v>
      <v>8</v>
      <v>9</v>
      <v>10</v>
      <v>203</v>
      <v>203</v>
      <v>201</v>
      <v>203</v>
      <v>11</v>
      <v>12</v>
      <v>13</v>
      <v>14</v>
      <v>203</v>
      <v>200</v>
      <v>203</v>
      <v>203</v>
      <v>203</v>
      <v>203</v>
      <v>203</v>
      <v>203</v>
      <v>203</v>
      <v>203</v>
      <v>203</v>
      <v>203</v>
      <v>15</v>
    </spb>
    <spb s="7">
      <v>2019</v>
      <v>2019</v>
      <v>square km</v>
      <v>per thousand (2018)</v>
      <v>2025</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27">
      <v>0</v>
      <v>206</v>
      <v>207</v>
      <v>207</v>
      <v>3</v>
      <v>207</v>
      <v>207</v>
      <v>207</v>
      <v>208</v>
      <v>207</v>
      <v>207</v>
      <v>208</v>
      <v>207</v>
      <v>207</v>
      <v>209</v>
      <v>6</v>
      <v>210</v>
      <v>209</v>
      <v>207</v>
      <v>209</v>
      <v>8</v>
      <v>9</v>
      <v>10</v>
      <v>209</v>
      <v>209</v>
      <v>207</v>
      <v>209</v>
      <v>11</v>
      <v>12</v>
      <v>13</v>
      <v>14</v>
      <v>209</v>
      <v>210</v>
      <v>209</v>
      <v>209</v>
      <v>209</v>
      <v>209</v>
      <v>209</v>
      <v>209</v>
      <v>209</v>
      <v>209</v>
      <v>209</v>
      <v>209</v>
      <v>15</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9">
      <v>0</v>
      <v>213</v>
      <v>214</v>
      <v>214</v>
      <v>3</v>
      <v>214</v>
      <v>214</v>
      <v>214</v>
      <v>215</v>
      <v>214</v>
      <v>214</v>
      <v>215</v>
      <v>214</v>
      <v>214</v>
      <v>216</v>
      <v>6</v>
      <v>213</v>
      <v>216</v>
      <v>7</v>
      <v>214</v>
      <v>216</v>
      <v>8</v>
      <v>9</v>
      <v>10</v>
      <v>216</v>
      <v>216</v>
      <v>214</v>
      <v>216</v>
      <v>11</v>
      <v>12</v>
      <v>13</v>
      <v>14</v>
      <v>216</v>
      <v>213</v>
      <v>216</v>
      <v>216</v>
      <v>216</v>
      <v>216</v>
      <v>216</v>
      <v>216</v>
      <v>216</v>
      <v>216</v>
      <v>216</v>
      <v>216</v>
      <v>15</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28">
      <v>0</v>
      <v>218</v>
      <v>219</v>
      <v>219</v>
      <v>3</v>
      <v>219</v>
      <v>219</v>
      <v>219</v>
      <v>220</v>
      <v>219</v>
      <v>219</v>
      <v>220</v>
      <v>219</v>
      <v>219</v>
      <v>221</v>
      <v>6</v>
      <v>218</v>
      <v>221</v>
      <v>7</v>
      <v>219</v>
      <v>221</v>
      <v>8</v>
      <v>9</v>
      <v>10</v>
      <v>221</v>
      <v>221</v>
      <v>219</v>
      <v>221</v>
      <v>11</v>
      <v>12</v>
      <v>13</v>
      <v>221</v>
      <v>221</v>
      <v>221</v>
      <v>221</v>
      <v>221</v>
      <v>221</v>
      <v>221</v>
      <v>221</v>
      <v>221</v>
      <v>221</v>
      <v>221</v>
      <v>15</v>
    </spb>
    <spb s="2">
      <v>12</v>
      <v>Name</v>
      <v>LearnMoreOnLink</v>
    </spb>
    <spb s="29">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9">
      <v>0</v>
      <v>225</v>
      <v>226</v>
      <v>226</v>
      <v>3</v>
      <v>226</v>
      <v>226</v>
      <v>226</v>
      <v>227</v>
      <v>226</v>
      <v>226</v>
      <v>227</v>
      <v>226</v>
      <v>226</v>
      <v>228</v>
      <v>6</v>
      <v>225</v>
      <v>228</v>
      <v>7</v>
      <v>226</v>
      <v>228</v>
      <v>8</v>
      <v>9</v>
      <v>10</v>
      <v>228</v>
      <v>228</v>
      <v>226</v>
      <v>228</v>
      <v>11</v>
      <v>12</v>
      <v>13</v>
      <v>14</v>
      <v>228</v>
      <v>225</v>
      <v>228</v>
      <v>228</v>
      <v>228</v>
      <v>228</v>
      <v>228</v>
      <v>228</v>
      <v>228</v>
      <v>228</v>
      <v>228</v>
      <v>228</v>
      <v>15</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9">
      <v>0</v>
      <v>231</v>
      <v>232</v>
      <v>232</v>
      <v>3</v>
      <v>232</v>
      <v>232</v>
      <v>232</v>
      <v>233</v>
      <v>232</v>
      <v>232</v>
      <v>233</v>
      <v>232</v>
      <v>232</v>
      <v>234</v>
      <v>6</v>
      <v>231</v>
      <v>234</v>
      <v>7</v>
      <v>232</v>
      <v>234</v>
      <v>8</v>
      <v>9</v>
      <v>10</v>
      <v>234</v>
      <v>234</v>
      <v>232</v>
      <v>234</v>
      <v>11</v>
      <v>12</v>
      <v>13</v>
      <v>14</v>
      <v>234</v>
      <v>231</v>
      <v>234</v>
      <v>234</v>
      <v>234</v>
      <v>234</v>
      <v>234</v>
      <v>234</v>
      <v>234</v>
      <v>234</v>
      <v>234</v>
      <v>234</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9">
      <v>0</v>
      <v>237</v>
      <v>238</v>
      <v>238</v>
      <v>3</v>
      <v>238</v>
      <v>238</v>
      <v>238</v>
      <v>239</v>
      <v>238</v>
      <v>238</v>
      <v>239</v>
      <v>238</v>
      <v>238</v>
      <v>240</v>
      <v>6</v>
      <v>237</v>
      <v>240</v>
      <v>7</v>
      <v>238</v>
      <v>240</v>
      <v>8</v>
      <v>9</v>
      <v>10</v>
      <v>240</v>
      <v>240</v>
      <v>238</v>
      <v>240</v>
      <v>11</v>
      <v>12</v>
      <v>13</v>
      <v>14</v>
      <v>240</v>
      <v>237</v>
      <v>240</v>
      <v>240</v>
      <v>240</v>
      <v>240</v>
      <v>240</v>
      <v>240</v>
      <v>240</v>
      <v>240</v>
      <v>240</v>
      <v>240</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30">
      <v>0</v>
      <v>243</v>
      <v>244</v>
      <v>244</v>
      <v>3</v>
      <v>244</v>
      <v>244</v>
      <v>244</v>
      <v>244</v>
      <v>244</v>
      <v>245</v>
      <v>244</v>
      <v>244</v>
      <v>246</v>
      <v>6</v>
      <v>243</v>
      <v>246</v>
      <v>7</v>
      <v>244</v>
      <v>246</v>
      <v>8</v>
      <v>9</v>
      <v>10</v>
      <v>246</v>
      <v>246</v>
      <v>244</v>
      <v>246</v>
      <v>11</v>
      <v>12</v>
      <v>13</v>
      <v>14</v>
      <v>246</v>
      <v>243</v>
      <v>246</v>
      <v>246</v>
      <v>246</v>
      <v>246</v>
      <v>246</v>
      <v>246</v>
      <v>246</v>
      <v>246</v>
      <v>246</v>
      <v>246</v>
      <v>15</v>
    </spb>
    <spb s="2">
      <v>13</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9">
      <v>0</v>
      <v>250</v>
      <v>251</v>
      <v>251</v>
      <v>3</v>
      <v>251</v>
      <v>251</v>
      <v>251</v>
      <v>252</v>
      <v>251</v>
      <v>251</v>
      <v>252</v>
      <v>251</v>
      <v>251</v>
      <v>253</v>
      <v>6</v>
      <v>250</v>
      <v>253</v>
      <v>7</v>
      <v>251</v>
      <v>253</v>
      <v>8</v>
      <v>9</v>
      <v>10</v>
      <v>253</v>
      <v>253</v>
      <v>251</v>
      <v>253</v>
      <v>11</v>
      <v>12</v>
      <v>13</v>
      <v>14</v>
      <v>253</v>
      <v>250</v>
      <v>253</v>
      <v>253</v>
      <v>253</v>
      <v>253</v>
      <v>253</v>
      <v>253</v>
      <v>253</v>
      <v>253</v>
      <v>253</v>
      <v>253</v>
      <v>15</v>
    </spb>
    <spb s="7">
      <v>2019</v>
      <v>2019</v>
      <v>square km</v>
      <v>per thousand (2018)</v>
      <v>2025</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9">
      <v>0</v>
      <v>256</v>
      <v>257</v>
      <v>257</v>
      <v>3</v>
      <v>257</v>
      <v>257</v>
      <v>257</v>
      <v>258</v>
      <v>257</v>
      <v>257</v>
      <v>258</v>
      <v>257</v>
      <v>257</v>
      <v>259</v>
      <v>6</v>
      <v>256</v>
      <v>259</v>
      <v>7</v>
      <v>257</v>
      <v>259</v>
      <v>8</v>
      <v>9</v>
      <v>10</v>
      <v>259</v>
      <v>259</v>
      <v>257</v>
      <v>259</v>
      <v>11</v>
      <v>12</v>
      <v>13</v>
      <v>14</v>
      <v>259</v>
      <v>256</v>
      <v>259</v>
      <v>259</v>
      <v>259</v>
      <v>259</v>
      <v>259</v>
      <v>259</v>
      <v>259</v>
      <v>259</v>
      <v>259</v>
      <v>259</v>
      <v>15</v>
    </spb>
    <spb s="7">
      <v>2019</v>
      <v>2019</v>
      <v>square km</v>
      <v>per thousand (2018)</v>
      <v>2025</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9">
      <v>0</v>
      <v>262</v>
      <v>263</v>
      <v>263</v>
      <v>3</v>
      <v>263</v>
      <v>263</v>
      <v>263</v>
      <v>264</v>
      <v>263</v>
      <v>263</v>
      <v>264</v>
      <v>263</v>
      <v>263</v>
      <v>265</v>
      <v>6</v>
      <v>262</v>
      <v>265</v>
      <v>7</v>
      <v>263</v>
      <v>265</v>
      <v>8</v>
      <v>9</v>
      <v>10</v>
      <v>265</v>
      <v>265</v>
      <v>263</v>
      <v>265</v>
      <v>11</v>
      <v>12</v>
      <v>13</v>
      <v>14</v>
      <v>265</v>
      <v>262</v>
      <v>265</v>
      <v>265</v>
      <v>265</v>
      <v>265</v>
      <v>265</v>
      <v>265</v>
      <v>265</v>
      <v>265</v>
      <v>265</v>
      <v>265</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10">
      <v>0</v>
      <v>268</v>
      <v>269</v>
      <v>269</v>
      <v>3</v>
      <v>269</v>
      <v>269</v>
      <v>269</v>
      <v>270</v>
      <v>269</v>
      <v>269</v>
      <v>270</v>
      <v>269</v>
      <v>269</v>
      <v>271</v>
      <v>6</v>
      <v>268</v>
      <v>271</v>
      <v>7</v>
      <v>269</v>
      <v>8</v>
      <v>9</v>
      <v>10</v>
      <v>271</v>
      <v>271</v>
      <v>269</v>
      <v>271</v>
      <v>11</v>
      <v>12</v>
      <v>13</v>
      <v>14</v>
      <v>271</v>
      <v>268</v>
      <v>271</v>
      <v>271</v>
      <v>271</v>
      <v>271</v>
      <v>271</v>
      <v>271</v>
      <v>271</v>
      <v>271</v>
      <v>271</v>
      <v>271</v>
      <v>15</v>
    </spb>
    <spb s="11">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31">
      <v>0</v>
      <v>274</v>
      <v>275</v>
      <v>275</v>
      <v>3</v>
      <v>275</v>
      <v>275</v>
      <v>275</v>
      <v>276</v>
      <v>275</v>
      <v>275</v>
      <v>276</v>
      <v>275</v>
      <v>275</v>
      <v>6</v>
      <v>274</v>
      <v>277</v>
      <v>7</v>
      <v>275</v>
      <v>277</v>
      <v>8</v>
      <v>9</v>
      <v>10</v>
      <v>277</v>
      <v>275</v>
      <v>277</v>
      <v>11</v>
      <v>12</v>
      <v>13</v>
      <v>14</v>
      <v>277</v>
      <v>274</v>
      <v>277</v>
      <v>277</v>
      <v>277</v>
      <v>277</v>
      <v>277</v>
      <v>277</v>
      <v>277</v>
      <v>277</v>
      <v>277</v>
      <v>277</v>
      <v>15</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18">
      <v>0</v>
      <v>280</v>
      <v>281</v>
      <v>281</v>
      <v>3</v>
      <v>281</v>
      <v>281</v>
      <v>281</v>
      <v>282</v>
      <v>281</v>
      <v>281</v>
      <v>282</v>
      <v>281</v>
      <v>281</v>
      <v>283</v>
      <v>6</v>
      <v>280</v>
      <v>283</v>
      <v>7</v>
      <v>281</v>
      <v>283</v>
      <v>8</v>
      <v>9</v>
      <v>10</v>
      <v>283</v>
      <v>283</v>
      <v>281</v>
      <v>283</v>
      <v>11</v>
      <v>12</v>
      <v>13</v>
      <v>14</v>
      <v>283</v>
      <v>283</v>
      <v>283</v>
      <v>283</v>
      <v>283</v>
      <v>283</v>
      <v>283</v>
      <v>283</v>
      <v>283</v>
      <v>283</v>
      <v>283</v>
      <v>15</v>
    </spb>
    <spb s="19">
      <v>2019</v>
      <v>2019</v>
      <v>square km</v>
      <v>per thousand (2018)</v>
      <v>2025</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9">
      <v>0</v>
      <v>286</v>
      <v>287</v>
      <v>287</v>
      <v>3</v>
      <v>287</v>
      <v>287</v>
      <v>287</v>
      <v>288</v>
      <v>287</v>
      <v>287</v>
      <v>288</v>
      <v>287</v>
      <v>287</v>
      <v>289</v>
      <v>6</v>
      <v>286</v>
      <v>289</v>
      <v>7</v>
      <v>287</v>
      <v>289</v>
      <v>8</v>
      <v>9</v>
      <v>10</v>
      <v>289</v>
      <v>289</v>
      <v>287</v>
      <v>289</v>
      <v>11</v>
      <v>12</v>
      <v>13</v>
      <v>14</v>
      <v>289</v>
      <v>286</v>
      <v>289</v>
      <v>289</v>
      <v>289</v>
      <v>289</v>
      <v>289</v>
      <v>289</v>
      <v>289</v>
      <v>289</v>
      <v>289</v>
      <v>289</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9">
      <v>0</v>
      <v>292</v>
      <v>293</v>
      <v>293</v>
      <v>3</v>
      <v>293</v>
      <v>293</v>
      <v>293</v>
      <v>294</v>
      <v>293</v>
      <v>293</v>
      <v>294</v>
      <v>293</v>
      <v>293</v>
      <v>295</v>
      <v>6</v>
      <v>292</v>
      <v>295</v>
      <v>7</v>
      <v>293</v>
      <v>295</v>
      <v>8</v>
      <v>9</v>
      <v>10</v>
      <v>295</v>
      <v>295</v>
      <v>293</v>
      <v>295</v>
      <v>11</v>
      <v>12</v>
      <v>13</v>
      <v>14</v>
      <v>295</v>
      <v>292</v>
      <v>295</v>
      <v>295</v>
      <v>295</v>
      <v>295</v>
      <v>295</v>
      <v>295</v>
      <v>295</v>
      <v>295</v>
      <v>295</v>
      <v>295</v>
      <v>15</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10">
      <v>0</v>
      <v>298</v>
      <v>299</v>
      <v>299</v>
      <v>3</v>
      <v>299</v>
      <v>299</v>
      <v>299</v>
      <v>300</v>
      <v>299</v>
      <v>299</v>
      <v>300</v>
      <v>299</v>
      <v>299</v>
      <v>301</v>
      <v>6</v>
      <v>298</v>
      <v>301</v>
      <v>7</v>
      <v>299</v>
      <v>8</v>
      <v>9</v>
      <v>10</v>
      <v>301</v>
      <v>301</v>
      <v>299</v>
      <v>301</v>
      <v>11</v>
      <v>12</v>
      <v>13</v>
      <v>14</v>
      <v>301</v>
      <v>298</v>
      <v>301</v>
      <v>301</v>
      <v>301</v>
      <v>301</v>
      <v>301</v>
      <v>301</v>
      <v>301</v>
      <v>301</v>
      <v>301</v>
      <v>301</v>
      <v>15</v>
    </spb>
    <spb s="11">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9">
      <v>0</v>
      <v>304</v>
      <v>305</v>
      <v>305</v>
      <v>3</v>
      <v>305</v>
      <v>305</v>
      <v>305</v>
      <v>306</v>
      <v>305</v>
      <v>305</v>
      <v>306</v>
      <v>305</v>
      <v>305</v>
      <v>307</v>
      <v>6</v>
      <v>304</v>
      <v>307</v>
      <v>7</v>
      <v>305</v>
      <v>307</v>
      <v>8</v>
      <v>9</v>
      <v>10</v>
      <v>307</v>
      <v>307</v>
      <v>305</v>
      <v>307</v>
      <v>11</v>
      <v>12</v>
      <v>13</v>
      <v>14</v>
      <v>307</v>
      <v>304</v>
      <v>307</v>
      <v>307</v>
      <v>307</v>
      <v>307</v>
      <v>307</v>
      <v>307</v>
      <v>307</v>
      <v>307</v>
      <v>307</v>
      <v>307</v>
      <v>15</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18">
      <v>0</v>
      <v>309</v>
      <v>310</v>
      <v>310</v>
      <v>3</v>
      <v>310</v>
      <v>310</v>
      <v>310</v>
      <v>311</v>
      <v>310</v>
      <v>310</v>
      <v>311</v>
      <v>310</v>
      <v>310</v>
      <v>312</v>
      <v>6</v>
      <v>309</v>
      <v>312</v>
      <v>7</v>
      <v>310</v>
      <v>312</v>
      <v>8</v>
      <v>9</v>
      <v>10</v>
      <v>312</v>
      <v>312</v>
      <v>310</v>
      <v>312</v>
      <v>11</v>
      <v>12</v>
      <v>13</v>
      <v>14</v>
      <v>312</v>
      <v>312</v>
      <v>312</v>
      <v>312</v>
      <v>312</v>
      <v>312</v>
      <v>312</v>
      <v>312</v>
      <v>312</v>
      <v>312</v>
      <v>312</v>
      <v>15</v>
    </spb>
    <spb s="19">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9">
      <v>0</v>
      <v>315</v>
      <v>316</v>
      <v>316</v>
      <v>3</v>
      <v>316</v>
      <v>316</v>
      <v>316</v>
      <v>317</v>
      <v>316</v>
      <v>316</v>
      <v>317</v>
      <v>316</v>
      <v>316</v>
      <v>318</v>
      <v>6</v>
      <v>315</v>
      <v>318</v>
      <v>7</v>
      <v>316</v>
      <v>318</v>
      <v>8</v>
      <v>9</v>
      <v>10</v>
      <v>318</v>
      <v>318</v>
      <v>316</v>
      <v>318</v>
      <v>11</v>
      <v>12</v>
      <v>13</v>
      <v>14</v>
      <v>318</v>
      <v>315</v>
      <v>318</v>
      <v>318</v>
      <v>318</v>
      <v>318</v>
      <v>318</v>
      <v>318</v>
      <v>318</v>
      <v>318</v>
      <v>318</v>
      <v>318</v>
      <v>15</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9">
      <v>0</v>
      <v>321</v>
      <v>322</v>
      <v>322</v>
      <v>3</v>
      <v>322</v>
      <v>322</v>
      <v>322</v>
      <v>323</v>
      <v>322</v>
      <v>322</v>
      <v>323</v>
      <v>322</v>
      <v>322</v>
      <v>324</v>
      <v>6</v>
      <v>321</v>
      <v>324</v>
      <v>7</v>
      <v>322</v>
      <v>324</v>
      <v>8</v>
      <v>9</v>
      <v>10</v>
      <v>324</v>
      <v>324</v>
      <v>322</v>
      <v>324</v>
      <v>11</v>
      <v>12</v>
      <v>13</v>
      <v>14</v>
      <v>324</v>
      <v>321</v>
      <v>324</v>
      <v>324</v>
      <v>324</v>
      <v>324</v>
      <v>324</v>
      <v>324</v>
      <v>324</v>
      <v>324</v>
      <v>324</v>
      <v>324</v>
      <v>15</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Data>
</supportingPropertyBags>
</file>

<file path=xl/richData/rdsupportingpropertybagstructure.xml><?xml version="1.0" encoding="utf-8"?>
<spbStructures xmlns="http://schemas.microsoft.com/office/spreadsheetml/2017/richdata2" count="32">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Unemployment rate" t="spb"/>
    <k n="Capital/Major City" t="spb"/>
    <k n="Agricultural land (%)" t="spb"/>
    <k n="Physicians per thousand" t="spb"/>
    <k n="Carbon dioxide emissions" t="spb"/>
    <k n="Population: Labor force participation (%)" t="spb"/>
  </s>
  <s>
    <k n="CPI" t="s"/>
    <k n="GDP" t="s"/>
    <k n="Area" t="s"/>
    <k n="Birth rate" t="s"/>
    <k n="Population" t="s"/>
    <k n="CPI Change (%)" t="s"/>
    <k n="Fertility rate" t="s"/>
    <k n="Life expectancy" t="s"/>
    <k n="Urban population" t="s"/>
    <k n="Forested area (%)" t="s"/>
    <k n="Unemployment rate" t="s"/>
    <k n="Agricultural land (%)" t="s"/>
    <k n="Physicians per thousand" t="s"/>
    <k n="Carbon dioxide emissions"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BC0D-70AC-42A5-BD60-60AA3D041AE1}">
  <dimension ref="A1:AJ50"/>
  <sheetViews>
    <sheetView tabSelected="1" workbookViewId="0">
      <selection sqref="A1:XFD1"/>
    </sheetView>
  </sheetViews>
  <sheetFormatPr defaultColWidth="9.140625" defaultRowHeight="15" x14ac:dyDescent="0.25"/>
  <cols>
    <col min="1" max="1" width="8.7109375" style="25" bestFit="1" customWidth="1"/>
    <col min="2" max="2" width="7.42578125" style="4" customWidth="1"/>
    <col min="3" max="3" width="14.7109375" style="26" bestFit="1" customWidth="1"/>
    <col min="4" max="4" width="6.140625" style="25" customWidth="1"/>
    <col min="5" max="5" width="13.85546875" style="25" bestFit="1" customWidth="1"/>
    <col min="6" max="6" width="10.85546875" style="25" bestFit="1" customWidth="1"/>
    <col min="7" max="7" width="13.85546875" style="25" bestFit="1" customWidth="1"/>
    <col min="8" max="8" width="13.5703125" style="25" customWidth="1"/>
    <col min="9" max="9" width="23.28515625" style="25" customWidth="1"/>
    <col min="10" max="10" width="10.85546875" style="25" bestFit="1" customWidth="1"/>
    <col min="11" max="11" width="13.140625" style="25" bestFit="1" customWidth="1"/>
    <col min="12" max="12" width="12.42578125" style="25" customWidth="1"/>
    <col min="13" max="13" width="11.85546875" style="25" customWidth="1"/>
    <col min="14" max="14" width="10.140625" style="26" bestFit="1" customWidth="1"/>
    <col min="15" max="15" width="7.140625" style="26" bestFit="1" customWidth="1"/>
    <col min="16" max="20" width="10.85546875" style="26" customWidth="1"/>
    <col min="21" max="21" width="7.140625" style="26" bestFit="1" customWidth="1"/>
    <col min="22" max="22" width="9.85546875" style="26" bestFit="1" customWidth="1"/>
    <col min="23" max="23" width="9.85546875" style="25" bestFit="1" customWidth="1"/>
    <col min="24" max="24" width="9.85546875" style="27" bestFit="1" customWidth="1"/>
    <col min="25" max="25" width="9.5703125" style="27" bestFit="1" customWidth="1"/>
    <col min="26" max="26" width="14.7109375" style="4" bestFit="1" customWidth="1"/>
    <col min="27" max="27" width="27.7109375" style="4" customWidth="1"/>
    <col min="28" max="28" width="16.5703125" style="4" bestFit="1" customWidth="1"/>
    <col min="29" max="29" width="11.140625" style="4" bestFit="1" customWidth="1"/>
    <col min="30" max="30" width="46.7109375" style="4" customWidth="1"/>
    <col min="31" max="31" width="78.5703125" style="4" bestFit="1" customWidth="1"/>
    <col min="32" max="32" width="14.42578125" style="25" customWidth="1"/>
    <col min="33" max="33" width="11.140625" style="4" bestFit="1" customWidth="1"/>
    <col min="34" max="34" width="11.7109375" style="4" customWidth="1"/>
    <col min="35" max="35" width="15" style="25" customWidth="1"/>
    <col min="36" max="36" width="23.140625" style="4" customWidth="1"/>
    <col min="37" max="16384" width="9.140625" style="4"/>
  </cols>
  <sheetData>
    <row r="1" spans="1:36" x14ac:dyDescent="0.25">
      <c r="A1" s="1"/>
      <c r="B1" s="3"/>
      <c r="C1" s="2"/>
      <c r="D1" s="1"/>
      <c r="E1" s="1"/>
      <c r="F1" s="1"/>
      <c r="G1" s="1"/>
      <c r="H1" s="1"/>
      <c r="I1" s="1"/>
      <c r="J1" s="1"/>
      <c r="K1" s="1"/>
      <c r="L1" s="28" t="s">
        <v>15</v>
      </c>
      <c r="M1" s="29"/>
      <c r="N1" s="29"/>
      <c r="O1" s="29"/>
      <c r="P1" s="29"/>
      <c r="Q1" s="29"/>
      <c r="R1" s="29"/>
      <c r="S1" s="29"/>
      <c r="T1" s="30"/>
      <c r="U1" s="31" t="s">
        <v>16</v>
      </c>
      <c r="V1" s="32"/>
      <c r="W1" s="32"/>
      <c r="X1" s="32"/>
      <c r="Y1" s="2"/>
      <c r="Z1" s="2"/>
      <c r="AA1" s="2"/>
      <c r="AB1" s="2"/>
      <c r="AC1" s="2"/>
      <c r="AD1" s="2"/>
      <c r="AE1" s="2"/>
      <c r="AF1" s="1"/>
      <c r="AG1" s="3"/>
      <c r="AH1" s="2"/>
      <c r="AI1" s="1"/>
      <c r="AJ1" s="2"/>
    </row>
    <row r="2" spans="1:36" s="9" customFormat="1" ht="48" x14ac:dyDescent="0.25">
      <c r="A2" s="6" t="s">
        <v>17</v>
      </c>
      <c r="B2" s="7" t="s">
        <v>18</v>
      </c>
      <c r="C2" s="7" t="s">
        <v>19</v>
      </c>
      <c r="D2" s="6" t="s">
        <v>20</v>
      </c>
      <c r="E2" s="6" t="s">
        <v>21</v>
      </c>
      <c r="F2" s="6" t="s">
        <v>22</v>
      </c>
      <c r="G2" s="8" t="s">
        <v>23</v>
      </c>
      <c r="H2" s="8" t="s">
        <v>24</v>
      </c>
      <c r="I2" s="6" t="s">
        <v>25</v>
      </c>
      <c r="J2" s="6" t="s">
        <v>26</v>
      </c>
      <c r="K2" s="6" t="s">
        <v>27</v>
      </c>
      <c r="L2" s="5" t="s">
        <v>28</v>
      </c>
      <c r="M2" s="5" t="s">
        <v>29</v>
      </c>
      <c r="N2" s="5" t="s">
        <v>30</v>
      </c>
      <c r="O2" s="5" t="s">
        <v>31</v>
      </c>
      <c r="P2" s="5" t="s">
        <v>32</v>
      </c>
      <c r="Q2" s="5" t="s">
        <v>33</v>
      </c>
      <c r="R2" s="5" t="s">
        <v>34</v>
      </c>
      <c r="S2" s="5" t="s">
        <v>35</v>
      </c>
      <c r="T2" s="5" t="s">
        <v>36</v>
      </c>
      <c r="U2" s="5" t="s">
        <v>37</v>
      </c>
      <c r="V2" s="5" t="s">
        <v>38</v>
      </c>
      <c r="W2" s="5" t="s">
        <v>39</v>
      </c>
      <c r="X2" s="5" t="s">
        <v>36</v>
      </c>
      <c r="Y2" s="6" t="s">
        <v>40</v>
      </c>
      <c r="Z2" s="6" t="s">
        <v>41</v>
      </c>
      <c r="AA2" s="6" t="s">
        <v>42</v>
      </c>
      <c r="AB2" s="6" t="s">
        <v>43</v>
      </c>
      <c r="AC2" s="6" t="s">
        <v>44</v>
      </c>
      <c r="AD2" s="6" t="s">
        <v>45</v>
      </c>
      <c r="AE2" s="6" t="s">
        <v>46</v>
      </c>
      <c r="AF2" s="6" t="s">
        <v>47</v>
      </c>
      <c r="AG2" s="6" t="s">
        <v>48</v>
      </c>
      <c r="AH2" s="6" t="s">
        <v>49</v>
      </c>
      <c r="AI2" s="6" t="s">
        <v>50</v>
      </c>
      <c r="AJ2" s="6" t="s">
        <v>51</v>
      </c>
    </row>
    <row r="3" spans="1:36" x14ac:dyDescent="0.25">
      <c r="A3" s="10" t="s">
        <v>52</v>
      </c>
      <c r="B3" s="11" t="s">
        <v>53</v>
      </c>
      <c r="C3" s="12" t="e" vm="1">
        <v>#VALUE!</v>
      </c>
      <c r="D3" s="11" t="e" cm="1" vm="2">
        <f t="array" aca="1" ref="D3" ca="1">_FV(C3,"Image")</f>
        <v>#VALUE!</v>
      </c>
      <c r="E3" s="11" t="s">
        <v>54</v>
      </c>
      <c r="F3" s="11" t="s">
        <v>55</v>
      </c>
      <c r="G3" s="13" t="s">
        <v>56</v>
      </c>
      <c r="H3" s="10" t="s">
        <v>57</v>
      </c>
      <c r="I3" s="11" t="s">
        <v>3</v>
      </c>
      <c r="J3" s="14">
        <v>46341</v>
      </c>
      <c r="K3" s="11"/>
      <c r="L3" s="11"/>
      <c r="M3" s="11"/>
      <c r="N3" s="11" t="s">
        <v>58</v>
      </c>
      <c r="O3" s="11"/>
      <c r="P3" s="14"/>
      <c r="Q3" s="15"/>
      <c r="R3" s="14"/>
      <c r="S3" s="15"/>
      <c r="T3" s="16"/>
      <c r="U3" s="15"/>
      <c r="V3" s="14"/>
      <c r="W3" s="15"/>
      <c r="X3" s="16"/>
      <c r="Y3" s="17" t="s">
        <v>59</v>
      </c>
      <c r="Z3" s="18"/>
      <c r="AA3" s="10"/>
      <c r="AB3" s="13"/>
      <c r="AC3" s="13"/>
      <c r="AD3" s="13"/>
      <c r="AE3" s="13" t="s">
        <v>60</v>
      </c>
      <c r="AF3" s="13"/>
      <c r="AG3" s="13"/>
      <c r="AH3" s="10"/>
      <c r="AI3" s="10" t="s">
        <v>61</v>
      </c>
      <c r="AJ3" s="19"/>
    </row>
    <row r="4" spans="1:36" x14ac:dyDescent="0.25">
      <c r="A4" s="10" t="s">
        <v>52</v>
      </c>
      <c r="B4" s="11" t="s">
        <v>62</v>
      </c>
      <c r="C4" s="12" t="e" vm="3">
        <v>#VALUE!</v>
      </c>
      <c r="D4" s="11" t="e" cm="1" vm="4">
        <f t="array" aca="1" ref="D4" ca="1">_FV(C4,"Image")</f>
        <v>#VALUE!</v>
      </c>
      <c r="E4" s="11" t="s">
        <v>63</v>
      </c>
      <c r="F4" s="11" t="s">
        <v>64</v>
      </c>
      <c r="G4" s="13" t="s">
        <v>56</v>
      </c>
      <c r="H4" s="10" t="s">
        <v>57</v>
      </c>
      <c r="I4" s="11" t="s">
        <v>5</v>
      </c>
      <c r="J4" s="14">
        <v>46341</v>
      </c>
      <c r="K4" s="11"/>
      <c r="L4" s="11" t="s">
        <v>65</v>
      </c>
      <c r="M4" s="11" t="s">
        <v>66</v>
      </c>
      <c r="N4" s="11" t="s">
        <v>58</v>
      </c>
      <c r="O4" s="11" t="s">
        <v>67</v>
      </c>
      <c r="P4" s="14">
        <v>46341</v>
      </c>
      <c r="Q4" s="15">
        <v>0.53819444444444442</v>
      </c>
      <c r="R4" s="14">
        <v>46341</v>
      </c>
      <c r="S4" s="15">
        <v>0.75347222222222221</v>
      </c>
      <c r="T4" s="16">
        <f>29+5</f>
        <v>34</v>
      </c>
      <c r="U4" s="15"/>
      <c r="V4" s="14"/>
      <c r="W4" s="15"/>
      <c r="X4" s="16"/>
      <c r="Y4" s="17" t="s">
        <v>59</v>
      </c>
      <c r="Z4" s="18"/>
      <c r="AA4" s="10" t="s">
        <v>68</v>
      </c>
      <c r="AB4" s="13"/>
      <c r="AC4" s="20"/>
      <c r="AD4" s="20" t="s">
        <v>69</v>
      </c>
      <c r="AE4" s="20" t="s">
        <v>70</v>
      </c>
      <c r="AF4" s="20"/>
      <c r="AG4" s="20"/>
      <c r="AH4" s="10"/>
      <c r="AI4" s="10" t="s">
        <v>61</v>
      </c>
      <c r="AJ4" s="19">
        <v>5410</v>
      </c>
    </row>
    <row r="5" spans="1:36" x14ac:dyDescent="0.25">
      <c r="A5" s="10" t="s">
        <v>52</v>
      </c>
      <c r="B5" s="11" t="s">
        <v>71</v>
      </c>
      <c r="C5" s="12" t="e" vm="5">
        <v>#VALUE!</v>
      </c>
      <c r="D5" s="11" t="e" cm="1" vm="6">
        <f t="array" aca="1" ref="D5" ca="1">_FV(C5,"Image")</f>
        <v>#VALUE!</v>
      </c>
      <c r="E5" s="11" t="s">
        <v>72</v>
      </c>
      <c r="F5" s="11" t="s">
        <v>73</v>
      </c>
      <c r="G5" s="13" t="s">
        <v>56</v>
      </c>
      <c r="H5" s="10" t="s">
        <v>57</v>
      </c>
      <c r="I5" s="11" t="s">
        <v>14</v>
      </c>
      <c r="J5" s="14">
        <v>46341</v>
      </c>
      <c r="K5" s="11"/>
      <c r="L5" s="11"/>
      <c r="M5" s="11"/>
      <c r="N5" s="11" t="s">
        <v>58</v>
      </c>
      <c r="O5" s="11"/>
      <c r="P5" s="14"/>
      <c r="Q5" s="15"/>
      <c r="R5" s="14"/>
      <c r="S5" s="15"/>
      <c r="T5" s="16"/>
      <c r="U5" s="15"/>
      <c r="V5" s="14"/>
      <c r="W5" s="15"/>
      <c r="X5" s="16"/>
      <c r="Y5" s="17" t="s">
        <v>59</v>
      </c>
      <c r="Z5" s="18" t="s">
        <v>74</v>
      </c>
      <c r="AA5" s="10" t="s">
        <v>75</v>
      </c>
      <c r="AB5" s="13"/>
      <c r="AC5" s="13"/>
      <c r="AD5" s="13"/>
      <c r="AE5" s="13" t="s">
        <v>76</v>
      </c>
      <c r="AF5" s="13"/>
      <c r="AG5" s="13"/>
      <c r="AH5" s="10"/>
      <c r="AI5" s="10" t="s">
        <v>61</v>
      </c>
      <c r="AJ5" s="19"/>
    </row>
    <row r="6" spans="1:36" x14ac:dyDescent="0.25">
      <c r="A6" s="10" t="s">
        <v>52</v>
      </c>
      <c r="B6" s="11" t="s">
        <v>77</v>
      </c>
      <c r="C6" s="12" t="e" vm="7">
        <v>#VALUE!</v>
      </c>
      <c r="D6" s="11" t="e" cm="1" vm="8">
        <f t="array" aca="1" ref="D6" ca="1">_FV(C6,"Image")</f>
        <v>#VALUE!</v>
      </c>
      <c r="E6" s="11" t="s">
        <v>78</v>
      </c>
      <c r="F6" s="11" t="s">
        <v>73</v>
      </c>
      <c r="G6" s="13" t="s">
        <v>56</v>
      </c>
      <c r="H6" s="10" t="s">
        <v>57</v>
      </c>
      <c r="I6" s="11" t="s">
        <v>10</v>
      </c>
      <c r="J6" s="14">
        <v>46341</v>
      </c>
      <c r="K6" s="11" t="s">
        <v>79</v>
      </c>
      <c r="L6" s="11" t="s">
        <v>80</v>
      </c>
      <c r="M6" s="11"/>
      <c r="N6" s="11" t="s">
        <v>10</v>
      </c>
      <c r="O6" s="11"/>
      <c r="P6" s="14"/>
      <c r="Q6" s="15"/>
      <c r="R6" s="14">
        <v>45976</v>
      </c>
      <c r="S6" s="15">
        <v>0.625</v>
      </c>
      <c r="T6" s="16"/>
      <c r="U6" s="15"/>
      <c r="V6" s="14"/>
      <c r="W6" s="15"/>
      <c r="X6" s="16"/>
      <c r="Y6" s="17" t="s">
        <v>59</v>
      </c>
      <c r="Z6" s="18"/>
      <c r="AA6" s="10"/>
      <c r="AB6" s="13"/>
      <c r="AC6" s="13"/>
      <c r="AD6" s="13"/>
      <c r="AE6" s="13"/>
      <c r="AF6" s="13"/>
      <c r="AG6" s="13"/>
      <c r="AH6" s="10"/>
      <c r="AI6" s="10" t="s">
        <v>61</v>
      </c>
      <c r="AJ6" s="19"/>
    </row>
    <row r="7" spans="1:36" x14ac:dyDescent="0.25">
      <c r="A7" s="10" t="s">
        <v>81</v>
      </c>
      <c r="B7" s="11" t="s">
        <v>82</v>
      </c>
      <c r="C7" s="12" t="e" vm="9">
        <v>#VALUE!</v>
      </c>
      <c r="D7" s="11" t="e" cm="1" vm="10">
        <f t="array" aca="1" ref="D7" ca="1">_FV(C7,"Image")</f>
        <v>#VALUE!</v>
      </c>
      <c r="E7" s="11" t="s">
        <v>54</v>
      </c>
      <c r="F7" s="11" t="s">
        <v>73</v>
      </c>
      <c r="G7" s="13" t="s">
        <v>56</v>
      </c>
      <c r="H7" s="10" t="s">
        <v>57</v>
      </c>
      <c r="I7" s="11" t="s">
        <v>1</v>
      </c>
      <c r="J7" s="14">
        <v>46341</v>
      </c>
      <c r="K7" s="11"/>
      <c r="L7" s="11"/>
      <c r="M7" s="11"/>
      <c r="N7" s="11" t="s">
        <v>58</v>
      </c>
      <c r="O7" s="11"/>
      <c r="P7" s="14"/>
      <c r="Q7" s="15"/>
      <c r="R7" s="14"/>
      <c r="S7" s="15"/>
      <c r="T7" s="16"/>
      <c r="U7" s="15"/>
      <c r="V7" s="14"/>
      <c r="W7" s="15"/>
      <c r="X7" s="16"/>
      <c r="Y7" s="17" t="s">
        <v>59</v>
      </c>
      <c r="Z7" s="18"/>
      <c r="AA7" s="10"/>
      <c r="AB7" s="13"/>
      <c r="AC7" s="13"/>
      <c r="AD7" s="13"/>
      <c r="AE7" s="13"/>
      <c r="AF7" s="13"/>
      <c r="AG7" s="13"/>
      <c r="AH7" s="10"/>
      <c r="AI7" s="10" t="s">
        <v>61</v>
      </c>
      <c r="AJ7" s="19"/>
    </row>
    <row r="8" spans="1:36" x14ac:dyDescent="0.25">
      <c r="A8" s="10" t="s">
        <v>81</v>
      </c>
      <c r="B8" s="11" t="s">
        <v>4</v>
      </c>
      <c r="C8" s="12" t="e" vm="11">
        <v>#VALUE!</v>
      </c>
      <c r="D8" s="11" t="e" cm="1" vm="12">
        <f t="array" aca="1" ref="D8" ca="1">_FV(C8,"Image")</f>
        <v>#VALUE!</v>
      </c>
      <c r="E8" s="11" t="s">
        <v>63</v>
      </c>
      <c r="F8" s="11" t="s">
        <v>64</v>
      </c>
      <c r="G8" s="13" t="s">
        <v>56</v>
      </c>
      <c r="H8" s="10" t="s">
        <v>57</v>
      </c>
      <c r="I8" s="11" t="s">
        <v>5</v>
      </c>
      <c r="J8" s="14">
        <v>46341</v>
      </c>
      <c r="K8" s="11"/>
      <c r="L8" s="11"/>
      <c r="M8" s="11"/>
      <c r="N8" s="11" t="s">
        <v>58</v>
      </c>
      <c r="O8" s="11"/>
      <c r="P8" s="14">
        <v>46337</v>
      </c>
      <c r="Q8" s="15">
        <v>1.3888888888888888E-2</v>
      </c>
      <c r="R8" s="14">
        <v>46337</v>
      </c>
      <c r="S8" s="15">
        <v>0.2013888888888889</v>
      </c>
      <c r="T8" s="16">
        <v>29</v>
      </c>
      <c r="U8" s="15" t="s">
        <v>83</v>
      </c>
      <c r="V8" s="14">
        <v>46359</v>
      </c>
      <c r="W8" s="15">
        <v>0.1111111111111111</v>
      </c>
      <c r="X8" s="16">
        <v>29</v>
      </c>
      <c r="Y8" s="17" t="s">
        <v>59</v>
      </c>
      <c r="Z8" s="18"/>
      <c r="AA8" s="10" t="s">
        <v>84</v>
      </c>
      <c r="AB8" s="13"/>
      <c r="AC8" s="13"/>
      <c r="AD8" s="13" t="s">
        <v>85</v>
      </c>
      <c r="AE8" s="13" t="s">
        <v>86</v>
      </c>
      <c r="AF8" s="13"/>
      <c r="AG8" s="13"/>
      <c r="AH8" s="10"/>
      <c r="AI8" s="10" t="s">
        <v>61</v>
      </c>
      <c r="AJ8" s="19">
        <v>7310</v>
      </c>
    </row>
    <row r="9" spans="1:36" x14ac:dyDescent="0.25">
      <c r="A9" s="10" t="s">
        <v>81</v>
      </c>
      <c r="B9" s="11" t="s">
        <v>87</v>
      </c>
      <c r="C9" s="12" t="e" vm="13">
        <v>#VALUE!</v>
      </c>
      <c r="D9" s="11" t="e" cm="1" vm="14">
        <f t="array" aca="1" ref="D9" ca="1">_FV(C9,"Image")</f>
        <v>#VALUE!</v>
      </c>
      <c r="E9" s="11" t="s">
        <v>72</v>
      </c>
      <c r="F9" s="11" t="s">
        <v>73</v>
      </c>
      <c r="G9" s="13" t="s">
        <v>56</v>
      </c>
      <c r="H9" s="10" t="s">
        <v>57</v>
      </c>
      <c r="I9" s="11" t="s">
        <v>14</v>
      </c>
      <c r="J9" s="14">
        <v>46341</v>
      </c>
      <c r="K9" s="11"/>
      <c r="L9" s="11"/>
      <c r="M9" s="11"/>
      <c r="N9" s="11" t="s">
        <v>58</v>
      </c>
      <c r="O9" s="11"/>
      <c r="P9" s="14"/>
      <c r="Q9" s="15"/>
      <c r="R9" s="14"/>
      <c r="S9" s="15"/>
      <c r="T9" s="16"/>
      <c r="U9" s="15"/>
      <c r="V9" s="14"/>
      <c r="W9" s="15"/>
      <c r="X9" s="16"/>
      <c r="Y9" s="17" t="s">
        <v>59</v>
      </c>
      <c r="Z9" s="18"/>
      <c r="AA9" s="10"/>
      <c r="AB9" s="13"/>
      <c r="AC9" s="13"/>
      <c r="AD9" s="13"/>
      <c r="AE9" s="13"/>
      <c r="AF9" s="13"/>
      <c r="AG9" s="13"/>
      <c r="AH9" s="10"/>
      <c r="AI9" s="10" t="s">
        <v>61</v>
      </c>
      <c r="AJ9" s="19"/>
    </row>
    <row r="10" spans="1:36" x14ac:dyDescent="0.25">
      <c r="A10" s="10" t="s">
        <v>81</v>
      </c>
      <c r="B10" s="11" t="s">
        <v>88</v>
      </c>
      <c r="C10" s="12" t="e" vm="15">
        <v>#VALUE!</v>
      </c>
      <c r="D10" s="11" t="e" cm="1" vm="16">
        <f t="array" aca="1" ref="D10" ca="1">_FV(C10,"Image")</f>
        <v>#VALUE!</v>
      </c>
      <c r="E10" s="11" t="s">
        <v>78</v>
      </c>
      <c r="F10" s="11" t="s">
        <v>64</v>
      </c>
      <c r="G10" s="13" t="s">
        <v>56</v>
      </c>
      <c r="H10" s="10" t="s">
        <v>57</v>
      </c>
      <c r="I10" s="11" t="s">
        <v>5</v>
      </c>
      <c r="J10" s="14">
        <v>46341</v>
      </c>
      <c r="K10" s="11"/>
      <c r="L10" s="11" t="s">
        <v>65</v>
      </c>
      <c r="M10" s="11" t="s">
        <v>89</v>
      </c>
      <c r="N10" s="11" t="s">
        <v>58</v>
      </c>
      <c r="O10" s="11" t="s">
        <v>90</v>
      </c>
      <c r="P10" s="14">
        <v>45976</v>
      </c>
      <c r="Q10" s="15">
        <v>0.70833333333333337</v>
      </c>
      <c r="R10" s="14">
        <v>45976</v>
      </c>
      <c r="S10" s="15">
        <v>0.92013888888888884</v>
      </c>
      <c r="T10" s="16">
        <f>29+1</f>
        <v>30</v>
      </c>
      <c r="U10" s="15"/>
      <c r="V10" s="14"/>
      <c r="W10" s="15"/>
      <c r="X10" s="16"/>
      <c r="Y10" s="17" t="s">
        <v>59</v>
      </c>
      <c r="Z10" s="18"/>
      <c r="AA10" s="10" t="s">
        <v>91</v>
      </c>
      <c r="AB10" s="13"/>
      <c r="AC10" s="13"/>
      <c r="AD10" s="13" t="s">
        <v>92</v>
      </c>
      <c r="AE10" s="13"/>
      <c r="AF10" s="13"/>
      <c r="AG10" s="13"/>
      <c r="AH10" s="10"/>
      <c r="AI10" s="10" t="s">
        <v>61</v>
      </c>
      <c r="AJ10" s="19">
        <v>4620</v>
      </c>
    </row>
    <row r="11" spans="1:36" x14ac:dyDescent="0.25">
      <c r="A11" s="10" t="s">
        <v>93</v>
      </c>
      <c r="B11" s="11" t="s">
        <v>94</v>
      </c>
      <c r="C11" s="12" t="e" vm="17">
        <v>#VALUE!</v>
      </c>
      <c r="D11" s="11" t="e" cm="1" vm="18">
        <f t="array" aca="1" ref="D11" ca="1">_FV(C11,"Image")</f>
        <v>#VALUE!</v>
      </c>
      <c r="E11" s="11" t="s">
        <v>54</v>
      </c>
      <c r="F11" s="11" t="s">
        <v>73</v>
      </c>
      <c r="G11" s="13" t="s">
        <v>56</v>
      </c>
      <c r="H11" s="10" t="s">
        <v>57</v>
      </c>
      <c r="I11" s="11" t="s">
        <v>14</v>
      </c>
      <c r="J11" s="14">
        <v>46341</v>
      </c>
      <c r="K11" s="11"/>
      <c r="L11" s="11"/>
      <c r="M11" s="11"/>
      <c r="N11" s="11" t="s">
        <v>58</v>
      </c>
      <c r="O11" s="11"/>
      <c r="P11" s="14"/>
      <c r="Q11" s="15"/>
      <c r="R11" s="14"/>
      <c r="S11" s="15"/>
      <c r="T11" s="16"/>
      <c r="U11" s="15"/>
      <c r="V11" s="14"/>
      <c r="W11" s="15"/>
      <c r="X11" s="16"/>
      <c r="Y11" s="17" t="s">
        <v>59</v>
      </c>
      <c r="Z11" s="18"/>
      <c r="AA11" s="10"/>
      <c r="AB11" s="13"/>
      <c r="AC11" s="13"/>
      <c r="AD11" s="13"/>
      <c r="AE11" s="13"/>
      <c r="AF11" s="13"/>
      <c r="AG11" s="13"/>
      <c r="AH11" s="10"/>
      <c r="AI11" s="10" t="s">
        <v>61</v>
      </c>
      <c r="AJ11" s="19"/>
    </row>
    <row r="12" spans="1:36" x14ac:dyDescent="0.25">
      <c r="A12" s="10" t="s">
        <v>93</v>
      </c>
      <c r="B12" s="11" t="s">
        <v>95</v>
      </c>
      <c r="C12" s="12" t="e" vm="19">
        <v>#VALUE!</v>
      </c>
      <c r="D12" s="11" t="e" cm="1" vm="20">
        <f t="array" aca="1" ref="D12" ca="1">_FV(C12,"Image")</f>
        <v>#VALUE!</v>
      </c>
      <c r="E12" s="11" t="s">
        <v>63</v>
      </c>
      <c r="F12" s="11" t="s">
        <v>64</v>
      </c>
      <c r="G12" s="13" t="s">
        <v>56</v>
      </c>
      <c r="H12" s="10" t="s">
        <v>57</v>
      </c>
      <c r="I12" s="11" t="s">
        <v>3</v>
      </c>
      <c r="J12" s="14">
        <v>46341</v>
      </c>
      <c r="K12" s="11"/>
      <c r="L12" s="11"/>
      <c r="M12" s="11"/>
      <c r="N12" s="11" t="s">
        <v>58</v>
      </c>
      <c r="O12" s="11"/>
      <c r="P12" s="14"/>
      <c r="Q12" s="15"/>
      <c r="R12" s="14"/>
      <c r="S12" s="15"/>
      <c r="T12" s="16"/>
      <c r="U12" s="15"/>
      <c r="V12" s="14"/>
      <c r="W12" s="15"/>
      <c r="X12" s="16"/>
      <c r="Y12" s="17" t="s">
        <v>59</v>
      </c>
      <c r="Z12" s="18"/>
      <c r="AA12" s="10"/>
      <c r="AB12" s="13"/>
      <c r="AC12" s="13"/>
      <c r="AD12" s="13"/>
      <c r="AE12" s="13" t="s">
        <v>96</v>
      </c>
      <c r="AF12" s="13"/>
      <c r="AG12" s="13"/>
      <c r="AH12" s="10"/>
      <c r="AI12" s="10" t="s">
        <v>61</v>
      </c>
      <c r="AJ12" s="19"/>
    </row>
    <row r="13" spans="1:36" x14ac:dyDescent="0.25">
      <c r="A13" s="10" t="s">
        <v>93</v>
      </c>
      <c r="B13" s="11" t="s">
        <v>97</v>
      </c>
      <c r="C13" s="12" t="e" vm="21">
        <v>#VALUE!</v>
      </c>
      <c r="D13" s="11" t="e" cm="1" vm="22">
        <f t="array" aca="1" ref="D13" ca="1">_FV(C13,"Image")</f>
        <v>#VALUE!</v>
      </c>
      <c r="E13" s="11" t="s">
        <v>98</v>
      </c>
      <c r="F13" s="11" t="s">
        <v>64</v>
      </c>
      <c r="G13" s="13" t="s">
        <v>56</v>
      </c>
      <c r="H13" s="10" t="s">
        <v>57</v>
      </c>
      <c r="I13" s="11" t="s">
        <v>5</v>
      </c>
      <c r="J13" s="14">
        <v>46341</v>
      </c>
      <c r="K13" s="11"/>
      <c r="L13" s="11" t="s">
        <v>65</v>
      </c>
      <c r="M13" s="11" t="s">
        <v>99</v>
      </c>
      <c r="N13" s="11" t="s">
        <v>58</v>
      </c>
      <c r="O13" s="11" t="s">
        <v>100</v>
      </c>
      <c r="P13" s="14">
        <v>46341</v>
      </c>
      <c r="Q13" s="15">
        <v>0.3576388888888889</v>
      </c>
      <c r="R13" s="14">
        <v>46341</v>
      </c>
      <c r="S13" s="15">
        <v>0.69097222222222221</v>
      </c>
      <c r="T13" s="16">
        <f>29</f>
        <v>29</v>
      </c>
      <c r="U13" s="15"/>
      <c r="V13" s="14"/>
      <c r="W13" s="15"/>
      <c r="X13" s="16"/>
      <c r="Y13" s="17" t="s">
        <v>59</v>
      </c>
      <c r="Z13" s="18"/>
      <c r="AA13" s="10" t="s">
        <v>101</v>
      </c>
      <c r="AB13" s="13"/>
      <c r="AC13" s="13"/>
      <c r="AD13" s="13" t="s">
        <v>102</v>
      </c>
      <c r="AE13" s="13"/>
      <c r="AF13" s="13"/>
      <c r="AG13" s="13"/>
      <c r="AH13" s="10"/>
      <c r="AI13" s="10" t="s">
        <v>61</v>
      </c>
      <c r="AJ13" s="19">
        <v>5660</v>
      </c>
    </row>
    <row r="14" spans="1:36" x14ac:dyDescent="0.25">
      <c r="A14" s="10" t="s">
        <v>93</v>
      </c>
      <c r="B14" s="11" t="s">
        <v>103</v>
      </c>
      <c r="C14" s="12" t="e" vm="23">
        <v>#VALUE!</v>
      </c>
      <c r="D14" s="11" t="e" cm="1" vm="24">
        <f t="array" aca="1" ref="D14" ca="1">_FV(C14,"Image")</f>
        <v>#VALUE!</v>
      </c>
      <c r="E14" s="11" t="s">
        <v>78</v>
      </c>
      <c r="F14" s="11" t="s">
        <v>64</v>
      </c>
      <c r="G14" s="13" t="s">
        <v>56</v>
      </c>
      <c r="H14" s="10" t="s">
        <v>57</v>
      </c>
      <c r="I14" s="11" t="s">
        <v>3</v>
      </c>
      <c r="J14" s="14">
        <v>46341</v>
      </c>
      <c r="K14" s="11"/>
      <c r="L14" s="11"/>
      <c r="M14" s="11"/>
      <c r="N14" s="11" t="s">
        <v>58</v>
      </c>
      <c r="O14" s="11"/>
      <c r="P14" s="14"/>
      <c r="Q14" s="15"/>
      <c r="R14" s="14"/>
      <c r="S14" s="15"/>
      <c r="T14" s="16"/>
      <c r="U14" s="15"/>
      <c r="V14" s="14"/>
      <c r="W14" s="15"/>
      <c r="X14" s="16"/>
      <c r="Y14" s="17" t="s">
        <v>59</v>
      </c>
      <c r="Z14" s="18"/>
      <c r="AA14" s="10"/>
      <c r="AB14" s="13"/>
      <c r="AC14" s="13"/>
      <c r="AD14" s="13"/>
      <c r="AE14" s="13" t="s">
        <v>104</v>
      </c>
      <c r="AF14" s="13"/>
      <c r="AG14" s="13"/>
      <c r="AH14" s="10"/>
      <c r="AI14" s="10" t="s">
        <v>61</v>
      </c>
      <c r="AJ14" s="19"/>
    </row>
    <row r="15" spans="1:36" x14ac:dyDescent="0.25">
      <c r="A15" s="10" t="s">
        <v>105</v>
      </c>
      <c r="B15" s="11" t="s">
        <v>106</v>
      </c>
      <c r="C15" s="12" t="e" vm="25">
        <v>#VALUE!</v>
      </c>
      <c r="D15" s="11" t="e" cm="1" vm="26">
        <f t="array" aca="1" ref="D15" ca="1">_FV(C15,"Image")</f>
        <v>#VALUE!</v>
      </c>
      <c r="E15" s="11" t="s">
        <v>98</v>
      </c>
      <c r="F15" s="11" t="s">
        <v>64</v>
      </c>
      <c r="G15" s="13" t="s">
        <v>56</v>
      </c>
      <c r="H15" s="10" t="s">
        <v>57</v>
      </c>
      <c r="I15" s="11" t="s">
        <v>5</v>
      </c>
      <c r="J15" s="14">
        <v>46341</v>
      </c>
      <c r="K15" s="11"/>
      <c r="L15" s="11" t="s">
        <v>65</v>
      </c>
      <c r="M15" s="11" t="s">
        <v>107</v>
      </c>
      <c r="N15" s="11" t="s">
        <v>58</v>
      </c>
      <c r="O15" s="11" t="s">
        <v>108</v>
      </c>
      <c r="P15" s="14">
        <v>46341</v>
      </c>
      <c r="Q15" s="15">
        <v>0.3576388888888889</v>
      </c>
      <c r="R15" s="14">
        <v>46341</v>
      </c>
      <c r="S15" s="15">
        <v>0.70486111111111116</v>
      </c>
      <c r="T15" s="16">
        <f>29+4</f>
        <v>33</v>
      </c>
      <c r="U15" s="15"/>
      <c r="V15" s="14"/>
      <c r="W15" s="15"/>
      <c r="X15" s="16"/>
      <c r="Y15" s="17" t="s">
        <v>59</v>
      </c>
      <c r="Z15" s="18" t="s">
        <v>109</v>
      </c>
      <c r="AA15" s="10" t="s">
        <v>110</v>
      </c>
      <c r="AB15" s="13"/>
      <c r="AC15" s="20"/>
      <c r="AD15" s="20" t="s">
        <v>92</v>
      </c>
      <c r="AE15" s="20"/>
      <c r="AF15" s="20"/>
      <c r="AG15" s="20"/>
      <c r="AH15" s="10"/>
      <c r="AI15" s="10" t="s">
        <v>61</v>
      </c>
      <c r="AJ15" s="19">
        <v>7350</v>
      </c>
    </row>
    <row r="16" spans="1:36" x14ac:dyDescent="0.25">
      <c r="A16" s="10" t="s">
        <v>105</v>
      </c>
      <c r="B16" s="11" t="s">
        <v>111</v>
      </c>
      <c r="C16" s="12" t="e" vm="27">
        <v>#VALUE!</v>
      </c>
      <c r="D16" s="11" t="e" cm="1" vm="28">
        <f t="array" aca="1" ref="D16" ca="1">_FV(C16,"Image")</f>
        <v>#VALUE!</v>
      </c>
      <c r="E16" s="11" t="s">
        <v>54</v>
      </c>
      <c r="F16" s="11" t="s">
        <v>73</v>
      </c>
      <c r="G16" s="13" t="s">
        <v>56</v>
      </c>
      <c r="H16" s="10" t="s">
        <v>57</v>
      </c>
      <c r="I16" s="11" t="s">
        <v>14</v>
      </c>
      <c r="J16" s="14">
        <v>46341</v>
      </c>
      <c r="K16" s="11"/>
      <c r="L16" s="11"/>
      <c r="M16" s="11"/>
      <c r="N16" s="11" t="s">
        <v>58</v>
      </c>
      <c r="O16" s="11"/>
      <c r="P16" s="14"/>
      <c r="Q16" s="15"/>
      <c r="R16" s="14"/>
      <c r="S16" s="15"/>
      <c r="T16" s="16"/>
      <c r="U16" s="15"/>
      <c r="V16" s="14"/>
      <c r="W16" s="15"/>
      <c r="X16" s="16"/>
      <c r="Y16" s="17" t="s">
        <v>59</v>
      </c>
      <c r="Z16" s="18"/>
      <c r="AA16" s="10"/>
      <c r="AB16" s="13"/>
      <c r="AC16" s="13"/>
      <c r="AD16" s="13"/>
      <c r="AE16" s="13"/>
      <c r="AF16" s="13"/>
      <c r="AG16" s="13"/>
      <c r="AH16" s="10"/>
      <c r="AI16" s="10" t="s">
        <v>61</v>
      </c>
      <c r="AJ16" s="19"/>
    </row>
    <row r="17" spans="1:36" x14ac:dyDescent="0.25">
      <c r="A17" s="10" t="s">
        <v>105</v>
      </c>
      <c r="B17" s="11" t="s">
        <v>112</v>
      </c>
      <c r="C17" s="12" t="e" vm="29">
        <v>#VALUE!</v>
      </c>
      <c r="D17" s="11" t="e" cm="1" vm="30">
        <f t="array" aca="1" ref="D17" ca="1">_FV(C17,"Image")</f>
        <v>#VALUE!</v>
      </c>
      <c r="E17" s="11" t="s">
        <v>63</v>
      </c>
      <c r="F17" s="11" t="s">
        <v>64</v>
      </c>
      <c r="G17" s="13" t="s">
        <v>56</v>
      </c>
      <c r="H17" s="10" t="s">
        <v>57</v>
      </c>
      <c r="I17" s="11" t="s">
        <v>1</v>
      </c>
      <c r="J17" s="14">
        <v>46341</v>
      </c>
      <c r="K17" s="11"/>
      <c r="L17" s="11"/>
      <c r="M17" s="11"/>
      <c r="N17" s="11" t="s">
        <v>58</v>
      </c>
      <c r="O17" s="11"/>
      <c r="P17" s="14"/>
      <c r="Q17" s="15"/>
      <c r="R17" s="14"/>
      <c r="S17" s="15"/>
      <c r="T17" s="16"/>
      <c r="U17" s="15"/>
      <c r="V17" s="14"/>
      <c r="W17" s="15"/>
      <c r="X17" s="16"/>
      <c r="Y17" s="17" t="s">
        <v>59</v>
      </c>
      <c r="Z17" s="18"/>
      <c r="AA17" s="10"/>
      <c r="AB17" s="13"/>
      <c r="AC17" s="13"/>
      <c r="AD17" s="13"/>
      <c r="AE17" s="13" t="s">
        <v>113</v>
      </c>
      <c r="AF17" s="13"/>
      <c r="AG17" s="13"/>
      <c r="AH17" s="10"/>
      <c r="AI17" s="10" t="s">
        <v>61</v>
      </c>
      <c r="AJ17" s="19"/>
    </row>
    <row r="18" spans="1:36" x14ac:dyDescent="0.25">
      <c r="A18" s="10" t="s">
        <v>105</v>
      </c>
      <c r="B18" s="11" t="s">
        <v>114</v>
      </c>
      <c r="C18" s="12" t="e" vm="31">
        <v>#VALUE!</v>
      </c>
      <c r="D18" s="11" t="e" cm="1" vm="32">
        <f t="array" aca="1" ref="D18" ca="1">_FV(C18,"Image")</f>
        <v>#VALUE!</v>
      </c>
      <c r="E18" s="11" t="s">
        <v>115</v>
      </c>
      <c r="F18" s="11" t="s">
        <v>73</v>
      </c>
      <c r="G18" s="13" t="s">
        <v>56</v>
      </c>
      <c r="H18" s="10" t="s">
        <v>57</v>
      </c>
      <c r="I18" s="11" t="s">
        <v>14</v>
      </c>
      <c r="J18" s="14">
        <v>46341</v>
      </c>
      <c r="K18" s="11"/>
      <c r="L18" s="11"/>
      <c r="M18" s="11"/>
      <c r="N18" s="11" t="s">
        <v>58</v>
      </c>
      <c r="O18" s="11"/>
      <c r="P18" s="14"/>
      <c r="Q18" s="15"/>
      <c r="R18" s="14"/>
      <c r="S18" s="15"/>
      <c r="T18" s="16"/>
      <c r="U18" s="15"/>
      <c r="V18" s="14"/>
      <c r="W18" s="15"/>
      <c r="X18" s="16"/>
      <c r="Y18" s="17" t="s">
        <v>59</v>
      </c>
      <c r="Z18" s="18"/>
      <c r="AA18" s="10"/>
      <c r="AB18" s="13"/>
      <c r="AC18" s="13"/>
      <c r="AD18" s="13"/>
      <c r="AE18" s="13"/>
      <c r="AF18" s="13"/>
      <c r="AG18" s="13"/>
      <c r="AH18" s="10"/>
      <c r="AI18" s="10" t="s">
        <v>61</v>
      </c>
      <c r="AJ18" s="19"/>
    </row>
    <row r="19" spans="1:36" x14ac:dyDescent="0.25">
      <c r="A19" s="10" t="s">
        <v>116</v>
      </c>
      <c r="B19" s="11" t="s">
        <v>117</v>
      </c>
      <c r="C19" s="12" t="e" vm="33">
        <v>#VALUE!</v>
      </c>
      <c r="D19" s="11" t="e" cm="1" vm="34">
        <f t="array" aca="1" ref="D19" ca="1">_FV(C19,"Image")</f>
        <v>#VALUE!</v>
      </c>
      <c r="E19" s="11" t="s">
        <v>54</v>
      </c>
      <c r="F19" s="11" t="s">
        <v>55</v>
      </c>
      <c r="G19" s="13" t="s">
        <v>56</v>
      </c>
      <c r="H19" s="10" t="s">
        <v>57</v>
      </c>
      <c r="I19" s="11" t="s">
        <v>5</v>
      </c>
      <c r="J19" s="14">
        <v>46342</v>
      </c>
      <c r="K19" s="11"/>
      <c r="L19" s="11" t="s">
        <v>65</v>
      </c>
      <c r="M19" s="11" t="s">
        <v>118</v>
      </c>
      <c r="N19" s="11" t="s">
        <v>58</v>
      </c>
      <c r="O19" s="11" t="s">
        <v>119</v>
      </c>
      <c r="P19" s="14">
        <v>46330</v>
      </c>
      <c r="Q19" s="15">
        <v>0.77430555555555558</v>
      </c>
      <c r="R19" s="14">
        <v>46331</v>
      </c>
      <c r="S19" s="15">
        <v>0.22569444444444445</v>
      </c>
      <c r="T19" s="16">
        <v>29</v>
      </c>
      <c r="U19" s="15" t="s">
        <v>119</v>
      </c>
      <c r="V19" s="14">
        <v>46358</v>
      </c>
      <c r="W19" s="15">
        <v>0.3611111111111111</v>
      </c>
      <c r="X19" s="16">
        <v>29</v>
      </c>
      <c r="Y19" s="17" t="s">
        <v>59</v>
      </c>
      <c r="Z19" s="18"/>
      <c r="AA19" s="10"/>
      <c r="AB19" s="13"/>
      <c r="AC19" s="13"/>
      <c r="AD19" s="13"/>
      <c r="AE19" s="13" t="s">
        <v>120</v>
      </c>
      <c r="AF19" s="13"/>
      <c r="AG19" s="13"/>
      <c r="AH19" s="10"/>
      <c r="AI19" s="10" t="s">
        <v>61</v>
      </c>
      <c r="AJ19" s="19">
        <v>6080</v>
      </c>
    </row>
    <row r="20" spans="1:36" x14ac:dyDescent="0.25">
      <c r="A20" s="10" t="s">
        <v>116</v>
      </c>
      <c r="B20" s="11" t="s">
        <v>121</v>
      </c>
      <c r="C20" s="12" t="e" vm="35">
        <v>#VALUE!</v>
      </c>
      <c r="D20" s="11" t="e" cm="1" vm="36">
        <f t="array" aca="1" ref="D20" ca="1">_FV(C20,"Image")</f>
        <v>#VALUE!</v>
      </c>
      <c r="E20" s="11" t="s">
        <v>115</v>
      </c>
      <c r="F20" s="11" t="s">
        <v>55</v>
      </c>
      <c r="G20" s="13" t="s">
        <v>56</v>
      </c>
      <c r="H20" s="10" t="s">
        <v>57</v>
      </c>
      <c r="I20" s="11" t="s">
        <v>5</v>
      </c>
      <c r="J20" s="14">
        <v>46342</v>
      </c>
      <c r="K20" s="11"/>
      <c r="L20" s="11" t="s">
        <v>65</v>
      </c>
      <c r="M20" s="11" t="s">
        <v>122</v>
      </c>
      <c r="N20" s="11" t="s">
        <v>58</v>
      </c>
      <c r="O20" s="11" t="s">
        <v>123</v>
      </c>
      <c r="P20" s="14">
        <v>46342</v>
      </c>
      <c r="Q20" s="15">
        <v>0.63194444444444442</v>
      </c>
      <c r="R20" s="14">
        <v>46342</v>
      </c>
      <c r="S20" s="15">
        <v>0.93055555555555558</v>
      </c>
      <c r="T20" s="16">
        <f>29+7</f>
        <v>36</v>
      </c>
      <c r="U20" s="15"/>
      <c r="V20" s="14"/>
      <c r="W20" s="15"/>
      <c r="X20" s="16"/>
      <c r="Y20" s="17" t="s">
        <v>59</v>
      </c>
      <c r="Z20" s="18"/>
      <c r="AA20" s="10" t="s">
        <v>101</v>
      </c>
      <c r="AB20" s="13"/>
      <c r="AC20" s="13"/>
      <c r="AD20" s="13" t="s">
        <v>92</v>
      </c>
      <c r="AE20" s="13"/>
      <c r="AF20" s="20"/>
      <c r="AG20" s="20"/>
      <c r="AH20" s="10"/>
      <c r="AI20" s="10" t="s">
        <v>61</v>
      </c>
      <c r="AJ20" s="19">
        <v>6660</v>
      </c>
    </row>
    <row r="21" spans="1:36" x14ac:dyDescent="0.25">
      <c r="A21" s="10" t="s">
        <v>116</v>
      </c>
      <c r="B21" s="11" t="s">
        <v>124</v>
      </c>
      <c r="C21" s="12" t="e" vm="37">
        <v>#VALUE!</v>
      </c>
      <c r="D21" s="11" t="e" cm="1" vm="38">
        <f t="array" aca="1" ref="D21" ca="1">_FV(C21,"Image")</f>
        <v>#VALUE!</v>
      </c>
      <c r="E21" s="11" t="s">
        <v>98</v>
      </c>
      <c r="F21" s="11" t="s">
        <v>73</v>
      </c>
      <c r="G21" s="13" t="s">
        <v>56</v>
      </c>
      <c r="H21" s="10" t="s">
        <v>57</v>
      </c>
      <c r="I21" s="11" t="s">
        <v>14</v>
      </c>
      <c r="J21" s="14">
        <v>46342</v>
      </c>
      <c r="K21" s="11"/>
      <c r="L21" s="11"/>
      <c r="M21" s="11"/>
      <c r="N21" s="11" t="s">
        <v>58</v>
      </c>
      <c r="O21" s="11"/>
      <c r="P21" s="14"/>
      <c r="Q21" s="15"/>
      <c r="R21" s="14"/>
      <c r="S21" s="15"/>
      <c r="T21" s="16"/>
      <c r="U21" s="15"/>
      <c r="V21" s="14"/>
      <c r="W21" s="15"/>
      <c r="X21" s="16"/>
      <c r="Y21" s="17" t="s">
        <v>59</v>
      </c>
      <c r="Z21" s="18"/>
      <c r="AA21" s="10"/>
      <c r="AB21" s="13"/>
      <c r="AC21" s="13"/>
      <c r="AD21" s="13"/>
      <c r="AE21" s="13"/>
      <c r="AF21" s="20"/>
      <c r="AG21" s="20"/>
      <c r="AH21" s="10"/>
      <c r="AI21" s="10" t="s">
        <v>61</v>
      </c>
      <c r="AJ21" s="19"/>
    </row>
    <row r="22" spans="1:36" x14ac:dyDescent="0.25">
      <c r="A22" s="10" t="s">
        <v>116</v>
      </c>
      <c r="B22" s="11" t="s">
        <v>125</v>
      </c>
      <c r="C22" s="12" t="e" vm="39">
        <v>#VALUE!</v>
      </c>
      <c r="D22" s="11" t="e" cm="1" vm="40">
        <f t="array" aca="1" ref="D22" ca="1">_FV(C22,"Image")</f>
        <v>#VALUE!</v>
      </c>
      <c r="E22" s="11" t="s">
        <v>63</v>
      </c>
      <c r="F22" s="11" t="s">
        <v>64</v>
      </c>
      <c r="G22" s="13" t="s">
        <v>56</v>
      </c>
      <c r="H22" s="10" t="s">
        <v>57</v>
      </c>
      <c r="I22" s="11" t="s">
        <v>5</v>
      </c>
      <c r="J22" s="14">
        <v>46342</v>
      </c>
      <c r="K22" s="11"/>
      <c r="L22" s="11" t="s">
        <v>65</v>
      </c>
      <c r="M22" s="11" t="s">
        <v>126</v>
      </c>
      <c r="N22" s="11" t="s">
        <v>58</v>
      </c>
      <c r="O22" s="11" t="s">
        <v>127</v>
      </c>
      <c r="P22" s="14">
        <v>46342</v>
      </c>
      <c r="Q22" s="15">
        <v>0.12847222222222221</v>
      </c>
      <c r="R22" s="14">
        <v>46342</v>
      </c>
      <c r="S22" s="15">
        <v>0.2048611111111111</v>
      </c>
      <c r="T22" s="16">
        <v>29</v>
      </c>
      <c r="U22" s="15"/>
      <c r="V22" s="14"/>
      <c r="W22" s="15"/>
      <c r="X22" s="16"/>
      <c r="Y22" s="17" t="s">
        <v>59</v>
      </c>
      <c r="Z22" s="18"/>
      <c r="AA22" s="10" t="s">
        <v>128</v>
      </c>
      <c r="AB22" s="13"/>
      <c r="AC22" s="13"/>
      <c r="AD22" s="13" t="s">
        <v>129</v>
      </c>
      <c r="AE22" s="13"/>
      <c r="AF22" s="13"/>
      <c r="AG22" s="13"/>
      <c r="AH22" s="10"/>
      <c r="AI22" s="10" t="s">
        <v>61</v>
      </c>
      <c r="AJ22" s="19">
        <v>3090</v>
      </c>
    </row>
    <row r="23" spans="1:36" x14ac:dyDescent="0.25">
      <c r="A23" s="10" t="s">
        <v>130</v>
      </c>
      <c r="B23" s="11" t="s">
        <v>131</v>
      </c>
      <c r="C23" s="12" t="e" vm="41">
        <v>#VALUE!</v>
      </c>
      <c r="D23" s="11" t="e" cm="1" vm="42">
        <f t="array" aca="1" ref="D23" ca="1">_FV(C23,"Image")</f>
        <v>#VALUE!</v>
      </c>
      <c r="E23" s="11" t="s">
        <v>115</v>
      </c>
      <c r="F23" s="11" t="s">
        <v>55</v>
      </c>
      <c r="G23" s="13" t="s">
        <v>56</v>
      </c>
      <c r="H23" s="10" t="s">
        <v>57</v>
      </c>
      <c r="I23" s="11" t="s">
        <v>12</v>
      </c>
      <c r="J23" s="14">
        <v>46342</v>
      </c>
      <c r="K23" s="11"/>
      <c r="L23" s="11"/>
      <c r="M23" s="11"/>
      <c r="N23" s="11" t="s">
        <v>58</v>
      </c>
      <c r="O23" s="11"/>
      <c r="P23" s="14"/>
      <c r="Q23" s="15"/>
      <c r="R23" s="14"/>
      <c r="S23" s="15"/>
      <c r="T23" s="16"/>
      <c r="U23" s="15"/>
      <c r="V23" s="14"/>
      <c r="W23" s="15"/>
      <c r="X23" s="16"/>
      <c r="Y23" s="17" t="s">
        <v>59</v>
      </c>
      <c r="Z23" s="18"/>
      <c r="AA23" s="10"/>
      <c r="AB23" s="13"/>
      <c r="AC23" s="20"/>
      <c r="AD23" s="20"/>
      <c r="AE23" s="20" t="s">
        <v>132</v>
      </c>
      <c r="AF23" s="20"/>
      <c r="AG23" s="20"/>
      <c r="AH23" s="10"/>
      <c r="AI23" s="10" t="s">
        <v>61</v>
      </c>
      <c r="AJ23" s="19"/>
    </row>
    <row r="24" spans="1:36" x14ac:dyDescent="0.25">
      <c r="A24" s="10" t="s">
        <v>130</v>
      </c>
      <c r="B24" s="11" t="s">
        <v>133</v>
      </c>
      <c r="C24" s="12" t="e" vm="43">
        <v>#VALUE!</v>
      </c>
      <c r="D24" s="11" t="e" cm="1" vm="44">
        <f t="array" aca="1" ref="D24" ca="1">_FV(C24,"Image")</f>
        <v>#VALUE!</v>
      </c>
      <c r="E24" s="11" t="s">
        <v>98</v>
      </c>
      <c r="F24" s="11" t="s">
        <v>73</v>
      </c>
      <c r="G24" s="13" t="s">
        <v>56</v>
      </c>
      <c r="H24" s="10" t="s">
        <v>57</v>
      </c>
      <c r="I24" s="11" t="s">
        <v>14</v>
      </c>
      <c r="J24" s="14">
        <v>46342</v>
      </c>
      <c r="K24" s="11"/>
      <c r="L24" s="11"/>
      <c r="M24" s="11"/>
      <c r="N24" s="11" t="s">
        <v>58</v>
      </c>
      <c r="O24" s="11"/>
      <c r="P24" s="14"/>
      <c r="Q24" s="15"/>
      <c r="R24" s="14"/>
      <c r="S24" s="15"/>
      <c r="T24" s="16"/>
      <c r="U24" s="15"/>
      <c r="V24" s="14"/>
      <c r="W24" s="15"/>
      <c r="X24" s="16"/>
      <c r="Y24" s="17" t="s">
        <v>59</v>
      </c>
      <c r="Z24" s="18"/>
      <c r="AA24" s="10">
        <v>2</v>
      </c>
      <c r="AB24" s="13"/>
      <c r="AC24" s="13"/>
      <c r="AD24" s="13" t="s">
        <v>134</v>
      </c>
      <c r="AE24" s="13"/>
      <c r="AF24" s="13"/>
      <c r="AG24" s="13"/>
      <c r="AH24" s="10"/>
      <c r="AI24" s="10" t="s">
        <v>61</v>
      </c>
      <c r="AJ24" s="19"/>
    </row>
    <row r="25" spans="1:36" x14ac:dyDescent="0.25">
      <c r="A25" s="10" t="s">
        <v>130</v>
      </c>
      <c r="B25" s="11" t="s">
        <v>13</v>
      </c>
      <c r="C25" s="12" t="e" vm="45">
        <v>#VALUE!</v>
      </c>
      <c r="D25" s="11" t="e" cm="1" vm="46">
        <f t="array" aca="1" ref="D25" ca="1">_FV(C25,"Image")</f>
        <v>#VALUE!</v>
      </c>
      <c r="E25" s="11" t="s">
        <v>63</v>
      </c>
      <c r="F25" s="11" t="s">
        <v>73</v>
      </c>
      <c r="G25" s="13" t="s">
        <v>56</v>
      </c>
      <c r="H25" s="10" t="s">
        <v>57</v>
      </c>
      <c r="I25" s="11" t="s">
        <v>14</v>
      </c>
      <c r="J25" s="14">
        <v>46342</v>
      </c>
      <c r="K25" s="11"/>
      <c r="L25" s="11"/>
      <c r="M25" s="11"/>
      <c r="N25" s="11" t="s">
        <v>58</v>
      </c>
      <c r="O25" s="11"/>
      <c r="P25" s="14"/>
      <c r="Q25" s="15"/>
      <c r="R25" s="14"/>
      <c r="S25" s="15"/>
      <c r="T25" s="16"/>
      <c r="U25" s="15"/>
      <c r="V25" s="14"/>
      <c r="W25" s="15"/>
      <c r="X25" s="16"/>
      <c r="Y25" s="17" t="s">
        <v>59</v>
      </c>
      <c r="Z25" s="18"/>
      <c r="AA25" s="10"/>
      <c r="AB25" s="13"/>
      <c r="AC25" s="13"/>
      <c r="AD25" s="13"/>
      <c r="AE25" s="13"/>
      <c r="AF25" s="13"/>
      <c r="AG25" s="13"/>
      <c r="AH25" s="10"/>
      <c r="AI25" s="10" t="s">
        <v>61</v>
      </c>
      <c r="AJ25" s="19"/>
    </row>
    <row r="26" spans="1:36" x14ac:dyDescent="0.25">
      <c r="A26" s="10" t="s">
        <v>130</v>
      </c>
      <c r="B26" s="11" t="s">
        <v>135</v>
      </c>
      <c r="C26" s="12" t="e" vm="47">
        <v>#VALUE!</v>
      </c>
      <c r="D26" s="11" t="e" cm="1" vm="48">
        <f t="array" aca="1" ref="D26" ca="1">_FV(C26,"Image")</f>
        <v>#VALUE!</v>
      </c>
      <c r="E26" s="11" t="s">
        <v>54</v>
      </c>
      <c r="F26" s="11" t="s">
        <v>73</v>
      </c>
      <c r="G26" s="13" t="s">
        <v>56</v>
      </c>
      <c r="H26" s="10" t="s">
        <v>57</v>
      </c>
      <c r="I26" s="11" t="s">
        <v>14</v>
      </c>
      <c r="J26" s="14">
        <v>46342</v>
      </c>
      <c r="K26" s="11"/>
      <c r="L26" s="11"/>
      <c r="M26" s="11"/>
      <c r="N26" s="11" t="s">
        <v>58</v>
      </c>
      <c r="O26" s="11"/>
      <c r="P26" s="14"/>
      <c r="Q26" s="15"/>
      <c r="R26" s="14"/>
      <c r="S26" s="15"/>
      <c r="T26" s="16"/>
      <c r="U26" s="15"/>
      <c r="V26" s="14"/>
      <c r="W26" s="15"/>
      <c r="X26" s="16"/>
      <c r="Y26" s="17" t="s">
        <v>59</v>
      </c>
      <c r="Z26" s="18"/>
      <c r="AA26" s="10"/>
      <c r="AB26" s="13"/>
      <c r="AC26" s="13"/>
      <c r="AD26" s="13"/>
      <c r="AE26" s="13"/>
      <c r="AF26" s="13"/>
      <c r="AG26" s="13"/>
      <c r="AH26" s="10"/>
      <c r="AI26" s="10" t="s">
        <v>61</v>
      </c>
      <c r="AJ26" s="19"/>
    </row>
    <row r="27" spans="1:36" x14ac:dyDescent="0.25">
      <c r="A27" s="10" t="s">
        <v>136</v>
      </c>
      <c r="B27" s="11" t="s">
        <v>137</v>
      </c>
      <c r="C27" s="12" t="e" vm="49">
        <v>#VALUE!</v>
      </c>
      <c r="D27" s="11" t="e" cm="1" vm="50">
        <f t="array" aca="1" ref="D27" ca="1">_FV(C27,"Image")</f>
        <v>#VALUE!</v>
      </c>
      <c r="E27" s="11" t="s">
        <v>138</v>
      </c>
      <c r="F27" s="11" t="s">
        <v>55</v>
      </c>
      <c r="G27" s="13" t="s">
        <v>56</v>
      </c>
      <c r="H27" s="10" t="s">
        <v>57</v>
      </c>
      <c r="I27" s="11" t="s">
        <v>5</v>
      </c>
      <c r="J27" s="14">
        <v>46342</v>
      </c>
      <c r="K27" s="11"/>
      <c r="L27" s="11" t="s">
        <v>65</v>
      </c>
      <c r="M27" s="11" t="s">
        <v>139</v>
      </c>
      <c r="N27" s="11" t="s">
        <v>58</v>
      </c>
      <c r="O27" s="11" t="s">
        <v>140</v>
      </c>
      <c r="P27" s="14">
        <v>46342</v>
      </c>
      <c r="Q27" s="15">
        <v>0.62152777777777779</v>
      </c>
      <c r="R27" s="14">
        <v>46342</v>
      </c>
      <c r="S27" s="15">
        <v>0.96180555555555558</v>
      </c>
      <c r="T27" s="16">
        <f>29+7</f>
        <v>36</v>
      </c>
      <c r="U27" s="15"/>
      <c r="V27" s="14"/>
      <c r="W27" s="15"/>
      <c r="X27" s="16"/>
      <c r="Y27" s="17" t="s">
        <v>59</v>
      </c>
      <c r="Z27" s="18"/>
      <c r="AA27" s="10" t="s">
        <v>101</v>
      </c>
      <c r="AB27" s="13"/>
      <c r="AC27" s="13"/>
      <c r="AD27" s="13" t="s">
        <v>141</v>
      </c>
      <c r="AE27" s="13"/>
      <c r="AF27" s="13"/>
      <c r="AG27" s="13"/>
      <c r="AH27" s="10"/>
      <c r="AI27" s="10" t="s">
        <v>61</v>
      </c>
      <c r="AJ27" s="19">
        <v>6180</v>
      </c>
    </row>
    <row r="28" spans="1:36" x14ac:dyDescent="0.25">
      <c r="A28" s="10" t="s">
        <v>136</v>
      </c>
      <c r="B28" s="11" t="s">
        <v>142</v>
      </c>
      <c r="C28" s="12" t="e" vm="51">
        <v>#VALUE!</v>
      </c>
      <c r="D28" s="11" t="e" cm="1" vm="52">
        <f t="array" aca="1" ref="D28" ca="1">_FV(C28,"Image")</f>
        <v>#VALUE!</v>
      </c>
      <c r="E28" s="11" t="s">
        <v>54</v>
      </c>
      <c r="F28" s="11" t="s">
        <v>73</v>
      </c>
      <c r="G28" s="13" t="s">
        <v>56</v>
      </c>
      <c r="H28" s="10" t="s">
        <v>57</v>
      </c>
      <c r="I28" s="11" t="s">
        <v>14</v>
      </c>
      <c r="J28" s="14">
        <v>46342</v>
      </c>
      <c r="K28" s="11"/>
      <c r="L28" s="11"/>
      <c r="M28" s="11"/>
      <c r="N28" s="11" t="s">
        <v>58</v>
      </c>
      <c r="O28" s="11"/>
      <c r="P28" s="14"/>
      <c r="Q28" s="15"/>
      <c r="R28" s="14"/>
      <c r="S28" s="15"/>
      <c r="T28" s="16"/>
      <c r="U28" s="15"/>
      <c r="V28" s="14"/>
      <c r="W28" s="15"/>
      <c r="X28" s="16"/>
      <c r="Y28" s="17" t="s">
        <v>59</v>
      </c>
      <c r="Z28" s="18"/>
      <c r="AA28" s="10"/>
      <c r="AB28" s="13"/>
      <c r="AC28" s="13"/>
      <c r="AD28" s="13"/>
      <c r="AE28" s="13"/>
      <c r="AF28" s="13"/>
      <c r="AG28" s="13"/>
      <c r="AH28" s="10"/>
      <c r="AI28" s="10" t="s">
        <v>61</v>
      </c>
      <c r="AJ28" s="19"/>
    </row>
    <row r="29" spans="1:36" x14ac:dyDescent="0.25">
      <c r="A29" s="10" t="s">
        <v>136</v>
      </c>
      <c r="B29" s="11" t="s">
        <v>0</v>
      </c>
      <c r="C29" s="12" t="e" vm="53">
        <v>#VALUE!</v>
      </c>
      <c r="D29" s="11" t="e" cm="1" vm="54">
        <f t="array" aca="1" ref="D29" ca="1">_FV(C29,"Image")</f>
        <v>#VALUE!</v>
      </c>
      <c r="E29" s="11" t="s">
        <v>63</v>
      </c>
      <c r="F29" s="11" t="s">
        <v>64</v>
      </c>
      <c r="G29" s="13" t="s">
        <v>56</v>
      </c>
      <c r="H29" s="10" t="s">
        <v>57</v>
      </c>
      <c r="I29" s="11" t="s">
        <v>3</v>
      </c>
      <c r="J29" s="14">
        <v>46342</v>
      </c>
      <c r="K29" s="11"/>
      <c r="L29" s="11"/>
      <c r="M29" s="11"/>
      <c r="N29" s="11" t="s">
        <v>58</v>
      </c>
      <c r="O29" s="11"/>
      <c r="P29" s="14"/>
      <c r="Q29" s="15"/>
      <c r="R29" s="14"/>
      <c r="S29" s="15"/>
      <c r="T29" s="16"/>
      <c r="U29" s="15"/>
      <c r="V29" s="14"/>
      <c r="W29" s="15"/>
      <c r="X29" s="16"/>
      <c r="Y29" s="17" t="s">
        <v>59</v>
      </c>
      <c r="Z29" s="18" t="s">
        <v>143</v>
      </c>
      <c r="AA29" s="10"/>
      <c r="AB29" s="13"/>
      <c r="AC29" s="13"/>
      <c r="AD29" s="13" t="s">
        <v>144</v>
      </c>
      <c r="AE29" s="13" t="s">
        <v>145</v>
      </c>
      <c r="AF29" s="13"/>
      <c r="AG29" s="13"/>
      <c r="AH29" s="10"/>
      <c r="AI29" s="10" t="s">
        <v>61</v>
      </c>
      <c r="AJ29" s="19"/>
    </row>
    <row r="30" spans="1:36" x14ac:dyDescent="0.25">
      <c r="A30" s="10" t="s">
        <v>136</v>
      </c>
      <c r="B30" s="11" t="s">
        <v>9</v>
      </c>
      <c r="C30" s="12" t="e" vm="55">
        <v>#VALUE!</v>
      </c>
      <c r="D30" s="11" t="e" cm="1" vm="56">
        <f t="array" aca="1" ref="D30" ca="1">_FV(C30,"Image")</f>
        <v>#VALUE!</v>
      </c>
      <c r="E30" s="11" t="s">
        <v>146</v>
      </c>
      <c r="F30" s="11" t="s">
        <v>55</v>
      </c>
      <c r="G30" s="13" t="s">
        <v>56</v>
      </c>
      <c r="H30" s="10" t="s">
        <v>57</v>
      </c>
      <c r="I30" s="11" t="s">
        <v>3</v>
      </c>
      <c r="J30" s="14">
        <v>46342</v>
      </c>
      <c r="K30" s="11"/>
      <c r="L30" s="11"/>
      <c r="M30" s="11"/>
      <c r="N30" s="11" t="s">
        <v>58</v>
      </c>
      <c r="O30" s="11"/>
      <c r="P30" s="14"/>
      <c r="Q30" s="15"/>
      <c r="R30" s="14"/>
      <c r="S30" s="15"/>
      <c r="T30" s="16"/>
      <c r="U30" s="15"/>
      <c r="V30" s="14"/>
      <c r="W30" s="15"/>
      <c r="X30" s="16"/>
      <c r="Y30" s="17" t="s">
        <v>59</v>
      </c>
      <c r="Z30" s="18"/>
      <c r="AA30" s="10"/>
      <c r="AB30" s="13"/>
      <c r="AC30" s="13"/>
      <c r="AD30" s="13" t="s">
        <v>147</v>
      </c>
      <c r="AE30" s="13" t="s">
        <v>147</v>
      </c>
      <c r="AF30" s="13"/>
      <c r="AG30" s="13"/>
      <c r="AH30" s="10"/>
      <c r="AI30" s="10" t="s">
        <v>61</v>
      </c>
      <c r="AJ30" s="19"/>
    </row>
    <row r="31" spans="1:36" x14ac:dyDescent="0.25">
      <c r="A31" s="10" t="s">
        <v>148</v>
      </c>
      <c r="B31" s="11" t="s">
        <v>6</v>
      </c>
      <c r="C31" s="12" t="e" vm="57">
        <v>#VALUE!</v>
      </c>
      <c r="D31" s="11" t="e" cm="1" vm="58">
        <f t="array" aca="1" ref="D31" ca="1">_FV(C31,"Image")</f>
        <v>#VALUE!</v>
      </c>
      <c r="E31" s="11" t="s">
        <v>54</v>
      </c>
      <c r="F31" s="11" t="s">
        <v>55</v>
      </c>
      <c r="G31" s="13" t="s">
        <v>56</v>
      </c>
      <c r="H31" s="10" t="s">
        <v>57</v>
      </c>
      <c r="I31" s="11" t="s">
        <v>3</v>
      </c>
      <c r="J31" s="14">
        <v>46342</v>
      </c>
      <c r="K31" s="11"/>
      <c r="L31" s="11"/>
      <c r="M31" s="11"/>
      <c r="N31" s="11" t="s">
        <v>58</v>
      </c>
      <c r="O31" s="11"/>
      <c r="P31" s="14"/>
      <c r="Q31" s="15"/>
      <c r="R31" s="14"/>
      <c r="S31" s="15"/>
      <c r="T31" s="16"/>
      <c r="U31" s="15"/>
      <c r="V31" s="14"/>
      <c r="W31" s="15"/>
      <c r="X31" s="16"/>
      <c r="Y31" s="17" t="s">
        <v>59</v>
      </c>
      <c r="Z31" s="18"/>
      <c r="AA31" s="10"/>
      <c r="AB31" s="13"/>
      <c r="AC31" s="13"/>
      <c r="AD31" s="13"/>
      <c r="AE31" s="13" t="s">
        <v>149</v>
      </c>
      <c r="AF31" s="13"/>
      <c r="AG31" s="13"/>
      <c r="AH31" s="10"/>
      <c r="AI31" s="10" t="s">
        <v>61</v>
      </c>
      <c r="AJ31" s="19"/>
    </row>
    <row r="32" spans="1:36" x14ac:dyDescent="0.25">
      <c r="A32" s="10" t="s">
        <v>148</v>
      </c>
      <c r="B32" s="11" t="s">
        <v>150</v>
      </c>
      <c r="C32" s="12" t="e" vm="59">
        <v>#VALUE!</v>
      </c>
      <c r="D32" s="11" t="e" cm="1" vm="60">
        <f t="array" aca="1" ref="D32" ca="1">_FV(C32,"Image")</f>
        <v>#VALUE!</v>
      </c>
      <c r="E32" s="11" t="s">
        <v>146</v>
      </c>
      <c r="F32" s="11" t="s">
        <v>55</v>
      </c>
      <c r="G32" s="13" t="s">
        <v>56</v>
      </c>
      <c r="H32" s="10" t="s">
        <v>57</v>
      </c>
      <c r="I32" s="11" t="s">
        <v>5</v>
      </c>
      <c r="J32" s="14">
        <v>46342</v>
      </c>
      <c r="K32" s="11"/>
      <c r="L32" s="11" t="s">
        <v>65</v>
      </c>
      <c r="M32" s="11" t="s">
        <v>151</v>
      </c>
      <c r="N32" s="11" t="s">
        <v>58</v>
      </c>
      <c r="O32" s="11" t="s">
        <v>152</v>
      </c>
      <c r="P32" s="14">
        <v>46342</v>
      </c>
      <c r="Q32" s="15">
        <v>0.33680555555555558</v>
      </c>
      <c r="R32" s="14">
        <v>46342</v>
      </c>
      <c r="S32" s="15">
        <v>0.69444444444444442</v>
      </c>
      <c r="T32" s="16">
        <f>29+7</f>
        <v>36</v>
      </c>
      <c r="U32" s="15"/>
      <c r="V32" s="14"/>
      <c r="W32" s="15"/>
      <c r="X32" s="16"/>
      <c r="Y32" s="17" t="s">
        <v>59</v>
      </c>
      <c r="Z32" s="18"/>
      <c r="AA32" s="10" t="s">
        <v>101</v>
      </c>
      <c r="AB32" s="13"/>
      <c r="AC32" s="13"/>
      <c r="AD32" s="13" t="s">
        <v>92</v>
      </c>
      <c r="AE32" s="13"/>
      <c r="AF32" s="13"/>
      <c r="AG32" s="13"/>
      <c r="AH32" s="10"/>
      <c r="AI32" s="10" t="s">
        <v>61</v>
      </c>
      <c r="AJ32" s="19">
        <v>6090</v>
      </c>
    </row>
    <row r="33" spans="1:36" x14ac:dyDescent="0.25">
      <c r="A33" s="10" t="s">
        <v>148</v>
      </c>
      <c r="B33" s="11" t="s">
        <v>153</v>
      </c>
      <c r="C33" s="12" t="e" vm="61">
        <v>#VALUE!</v>
      </c>
      <c r="D33" s="11" t="e" cm="1" vm="62">
        <f t="array" aca="1" ref="D33" ca="1">_FV(C33,"Image")</f>
        <v>#VALUE!</v>
      </c>
      <c r="E33" s="11" t="s">
        <v>63</v>
      </c>
      <c r="F33" s="11" t="s">
        <v>73</v>
      </c>
      <c r="G33" s="13" t="s">
        <v>56</v>
      </c>
      <c r="H33" s="10" t="s">
        <v>57</v>
      </c>
      <c r="I33" s="11" t="s">
        <v>3</v>
      </c>
      <c r="J33" s="14">
        <v>46342</v>
      </c>
      <c r="K33" s="11"/>
      <c r="L33" s="11"/>
      <c r="M33" s="11"/>
      <c r="N33" s="11" t="s">
        <v>58</v>
      </c>
      <c r="O33" s="11"/>
      <c r="P33" s="14"/>
      <c r="Q33" s="15"/>
      <c r="R33" s="14"/>
      <c r="S33" s="15"/>
      <c r="T33" s="16"/>
      <c r="U33" s="15"/>
      <c r="V33" s="14"/>
      <c r="W33" s="15"/>
      <c r="X33" s="16"/>
      <c r="Y33" s="17" t="s">
        <v>59</v>
      </c>
      <c r="Z33" s="18"/>
      <c r="AA33" s="10"/>
      <c r="AB33" s="13"/>
      <c r="AC33" s="13"/>
      <c r="AD33" s="13"/>
      <c r="AE33" s="13"/>
      <c r="AF33" s="13"/>
      <c r="AG33" s="13"/>
      <c r="AH33" s="10"/>
      <c r="AI33" s="10" t="s">
        <v>61</v>
      </c>
      <c r="AJ33" s="19"/>
    </row>
    <row r="34" spans="1:36" x14ac:dyDescent="0.25">
      <c r="A34" s="10" t="s">
        <v>148</v>
      </c>
      <c r="B34" s="11" t="s">
        <v>154</v>
      </c>
      <c r="C34" s="12" t="e" vm="63">
        <v>#VALUE!</v>
      </c>
      <c r="D34" s="11" t="e" cm="1" vm="64">
        <f t="array" aca="1" ref="D34" ca="1">_FV(C34,"Image")</f>
        <v>#VALUE!</v>
      </c>
      <c r="E34" s="11" t="s">
        <v>138</v>
      </c>
      <c r="F34" s="11" t="s">
        <v>55</v>
      </c>
      <c r="G34" s="13" t="s">
        <v>56</v>
      </c>
      <c r="H34" s="10" t="s">
        <v>57</v>
      </c>
      <c r="I34" s="11" t="s">
        <v>1</v>
      </c>
      <c r="J34" s="14">
        <v>46342</v>
      </c>
      <c r="K34" s="11"/>
      <c r="L34" s="11"/>
      <c r="M34" s="11"/>
      <c r="N34" s="11" t="s">
        <v>58</v>
      </c>
      <c r="O34" s="11"/>
      <c r="P34" s="14"/>
      <c r="Q34" s="15"/>
      <c r="R34" s="14"/>
      <c r="S34" s="15"/>
      <c r="T34" s="16"/>
      <c r="U34" s="15"/>
      <c r="V34" s="14"/>
      <c r="W34" s="15"/>
      <c r="X34" s="16"/>
      <c r="Y34" s="17" t="s">
        <v>59</v>
      </c>
      <c r="Z34" s="18"/>
      <c r="AA34" s="10"/>
      <c r="AB34" s="13"/>
      <c r="AC34" s="13"/>
      <c r="AD34" s="13"/>
      <c r="AE34" s="13" t="s">
        <v>155</v>
      </c>
      <c r="AF34" s="13"/>
      <c r="AG34" s="13"/>
      <c r="AH34" s="10"/>
      <c r="AI34" s="10" t="s">
        <v>61</v>
      </c>
      <c r="AJ34" s="19"/>
    </row>
    <row r="35" spans="1:36" x14ac:dyDescent="0.25">
      <c r="A35" s="10" t="s">
        <v>156</v>
      </c>
      <c r="B35" s="11" t="s">
        <v>7</v>
      </c>
      <c r="C35" s="12" t="e" vm="65">
        <v>#VALUE!</v>
      </c>
      <c r="D35" s="21" t="e" cm="1" vm="66">
        <f t="array" aca="1" ref="D35" ca="1">_FV(C35,"Image")</f>
        <v>#VALUE!</v>
      </c>
      <c r="E35" s="11" t="s">
        <v>138</v>
      </c>
      <c r="F35" s="11" t="s">
        <v>73</v>
      </c>
      <c r="G35" s="13" t="s">
        <v>56</v>
      </c>
      <c r="H35" s="10" t="s">
        <v>57</v>
      </c>
      <c r="I35" s="11" t="s">
        <v>3</v>
      </c>
      <c r="J35" s="14">
        <v>46343</v>
      </c>
      <c r="K35" s="11"/>
      <c r="L35" s="11"/>
      <c r="M35" s="11"/>
      <c r="N35" s="11" t="s">
        <v>58</v>
      </c>
      <c r="O35" s="11"/>
      <c r="P35" s="14"/>
      <c r="Q35" s="15"/>
      <c r="R35" s="14"/>
      <c r="S35" s="15"/>
      <c r="T35" s="16"/>
      <c r="U35" s="15"/>
      <c r="V35" s="14"/>
      <c r="W35" s="15"/>
      <c r="X35" s="16"/>
      <c r="Y35" s="17" t="s">
        <v>59</v>
      </c>
      <c r="Z35" s="18"/>
      <c r="AA35" s="10"/>
      <c r="AB35" s="13"/>
      <c r="AC35" s="13"/>
      <c r="AD35" s="13"/>
      <c r="AE35" s="13"/>
      <c r="AF35" s="13"/>
      <c r="AG35" s="13"/>
      <c r="AH35" s="10"/>
      <c r="AI35" s="10" t="s">
        <v>61</v>
      </c>
      <c r="AJ35" s="19"/>
    </row>
    <row r="36" spans="1:36" x14ac:dyDescent="0.25">
      <c r="A36" s="10" t="s">
        <v>156</v>
      </c>
      <c r="B36" s="11" t="s">
        <v>157</v>
      </c>
      <c r="C36" s="12" t="e" vm="67">
        <v>#VALUE!</v>
      </c>
      <c r="D36" s="11" t="e" cm="1" vm="68">
        <f t="array" aca="1" ref="D36" ca="1">_FV(C36,"Image")</f>
        <v>#VALUE!</v>
      </c>
      <c r="E36" s="11" t="s">
        <v>63</v>
      </c>
      <c r="F36" s="11" t="s">
        <v>73</v>
      </c>
      <c r="G36" s="13" t="s">
        <v>56</v>
      </c>
      <c r="H36" s="10" t="s">
        <v>57</v>
      </c>
      <c r="I36" s="11" t="s">
        <v>14</v>
      </c>
      <c r="J36" s="14">
        <v>46343</v>
      </c>
      <c r="K36" s="11"/>
      <c r="L36" s="11"/>
      <c r="M36" s="11"/>
      <c r="N36" s="11" t="s">
        <v>58</v>
      </c>
      <c r="O36" s="11"/>
      <c r="P36" s="14"/>
      <c r="Q36" s="15"/>
      <c r="R36" s="14"/>
      <c r="S36" s="15"/>
      <c r="T36" s="16"/>
      <c r="U36" s="15"/>
      <c r="V36" s="14"/>
      <c r="W36" s="15"/>
      <c r="X36" s="16"/>
      <c r="Y36" s="17" t="s">
        <v>59</v>
      </c>
      <c r="Z36" s="18"/>
      <c r="AA36" s="10"/>
      <c r="AB36" s="13"/>
      <c r="AC36" s="13"/>
      <c r="AD36" s="13"/>
      <c r="AE36" s="13"/>
      <c r="AF36" s="13"/>
      <c r="AG36" s="13"/>
      <c r="AH36" s="10"/>
      <c r="AI36" s="10" t="s">
        <v>61</v>
      </c>
      <c r="AJ36" s="19"/>
    </row>
    <row r="37" spans="1:36" x14ac:dyDescent="0.25">
      <c r="A37" s="10" t="s">
        <v>156</v>
      </c>
      <c r="B37" s="11" t="s">
        <v>2</v>
      </c>
      <c r="C37" s="12" t="e" vm="69">
        <v>#VALUE!</v>
      </c>
      <c r="D37" s="11" t="e" cm="1" vm="70">
        <f t="array" aca="1" ref="D37" ca="1">_FV(C37,"Image")</f>
        <v>#VALUE!</v>
      </c>
      <c r="E37" s="11" t="s">
        <v>146</v>
      </c>
      <c r="F37" s="11" t="s">
        <v>55</v>
      </c>
      <c r="G37" s="13" t="s">
        <v>56</v>
      </c>
      <c r="H37" s="10" t="s">
        <v>57</v>
      </c>
      <c r="I37" s="11" t="s">
        <v>5</v>
      </c>
      <c r="J37" s="14">
        <v>46343</v>
      </c>
      <c r="K37" s="11"/>
      <c r="L37" s="11"/>
      <c r="M37" s="11"/>
      <c r="N37" s="11" t="s">
        <v>58</v>
      </c>
      <c r="O37" s="11"/>
      <c r="P37" s="14"/>
      <c r="Q37" s="15"/>
      <c r="R37" s="14"/>
      <c r="S37" s="15"/>
      <c r="T37" s="16"/>
      <c r="U37" s="15"/>
      <c r="V37" s="14"/>
      <c r="W37" s="15"/>
      <c r="X37" s="16"/>
      <c r="Y37" s="17" t="s">
        <v>59</v>
      </c>
      <c r="Z37" s="18"/>
      <c r="AA37" s="10" t="s">
        <v>158</v>
      </c>
      <c r="AB37" s="13"/>
      <c r="AC37" s="13"/>
      <c r="AD37" s="13" t="s">
        <v>159</v>
      </c>
      <c r="AE37" s="13" t="s">
        <v>160</v>
      </c>
      <c r="AF37" s="13"/>
      <c r="AG37" s="13"/>
      <c r="AH37" s="10"/>
      <c r="AI37" s="10" t="s">
        <v>61</v>
      </c>
      <c r="AJ37" s="19"/>
    </row>
    <row r="38" spans="1:36" x14ac:dyDescent="0.25">
      <c r="A38" s="10" t="s">
        <v>156</v>
      </c>
      <c r="B38" s="11" t="s">
        <v>161</v>
      </c>
      <c r="C38" s="12" t="e" vm="71">
        <v>#VALUE!</v>
      </c>
      <c r="D38" s="11" t="e" cm="1" vm="72">
        <f t="array" aca="1" ref="D38" ca="1">_FV(C38,"Image")</f>
        <v>#VALUE!</v>
      </c>
      <c r="E38" s="11" t="s">
        <v>162</v>
      </c>
      <c r="F38" s="11" t="s">
        <v>73</v>
      </c>
      <c r="G38" s="13" t="s">
        <v>56</v>
      </c>
      <c r="H38" s="10" t="s">
        <v>57</v>
      </c>
      <c r="I38" s="11" t="s">
        <v>1</v>
      </c>
      <c r="J38" s="14">
        <v>46343</v>
      </c>
      <c r="K38" s="11"/>
      <c r="L38" s="11"/>
      <c r="M38" s="11"/>
      <c r="N38" s="11" t="s">
        <v>58</v>
      </c>
      <c r="O38" s="11"/>
      <c r="P38" s="14"/>
      <c r="Q38" s="15"/>
      <c r="R38" s="14"/>
      <c r="S38" s="15"/>
      <c r="T38" s="16"/>
      <c r="U38" s="15"/>
      <c r="V38" s="14"/>
      <c r="W38" s="15"/>
      <c r="X38" s="16"/>
      <c r="Y38" s="17" t="s">
        <v>59</v>
      </c>
      <c r="Z38" s="18"/>
      <c r="AA38" s="10"/>
      <c r="AB38" s="13"/>
      <c r="AC38" s="13"/>
      <c r="AD38" s="13"/>
      <c r="AE38" s="13"/>
      <c r="AF38" s="13"/>
      <c r="AG38" s="13"/>
      <c r="AH38" s="10"/>
      <c r="AI38" s="10" t="s">
        <v>61</v>
      </c>
      <c r="AJ38" s="19"/>
    </row>
    <row r="39" spans="1:36" x14ac:dyDescent="0.25">
      <c r="A39" s="10" t="s">
        <v>163</v>
      </c>
      <c r="B39" s="11" t="s">
        <v>164</v>
      </c>
      <c r="C39" s="12" t="e" vm="73">
        <v>#VALUE!</v>
      </c>
      <c r="D39" s="11" t="e" cm="1" vm="74">
        <f t="array" aca="1" ref="D39" ca="1">_FV(C39,"Image")</f>
        <v>#VALUE!</v>
      </c>
      <c r="E39" s="11" t="s">
        <v>162</v>
      </c>
      <c r="F39" s="11" t="s">
        <v>73</v>
      </c>
      <c r="G39" s="13" t="s">
        <v>56</v>
      </c>
      <c r="H39" s="10" t="s">
        <v>57</v>
      </c>
      <c r="I39" s="11" t="s">
        <v>1</v>
      </c>
      <c r="J39" s="14">
        <v>46343</v>
      </c>
      <c r="K39" s="11"/>
      <c r="L39" s="11"/>
      <c r="M39" s="11"/>
      <c r="N39" s="11" t="s">
        <v>58</v>
      </c>
      <c r="O39" s="11"/>
      <c r="P39" s="14"/>
      <c r="Q39" s="15"/>
      <c r="R39" s="14"/>
      <c r="S39" s="15"/>
      <c r="T39" s="16"/>
      <c r="U39" s="15"/>
      <c r="V39" s="14"/>
      <c r="W39" s="15"/>
      <c r="X39" s="16"/>
      <c r="Y39" s="17" t="s">
        <v>59</v>
      </c>
      <c r="Z39" s="18"/>
      <c r="AA39" s="10"/>
      <c r="AB39" s="13"/>
      <c r="AC39" s="13"/>
      <c r="AD39" s="13"/>
      <c r="AE39" s="13"/>
      <c r="AF39" s="13"/>
      <c r="AG39" s="13"/>
      <c r="AH39" s="10"/>
      <c r="AI39" s="10" t="s">
        <v>61</v>
      </c>
      <c r="AJ39" s="19"/>
    </row>
    <row r="40" spans="1:36" x14ac:dyDescent="0.25">
      <c r="A40" s="10" t="s">
        <v>163</v>
      </c>
      <c r="B40" s="11" t="s">
        <v>165</v>
      </c>
      <c r="C40" s="12" t="e" vm="75">
        <v>#VALUE!</v>
      </c>
      <c r="D40" s="11" t="e" cm="1" vm="76">
        <f t="array" aca="1" ref="D40" ca="1">_FV(C40,"Image")</f>
        <v>#VALUE!</v>
      </c>
      <c r="E40" s="11" t="s">
        <v>54</v>
      </c>
      <c r="F40" s="11" t="s">
        <v>73</v>
      </c>
      <c r="G40" s="13" t="s">
        <v>56</v>
      </c>
      <c r="H40" s="10" t="s">
        <v>57</v>
      </c>
      <c r="I40" s="11" t="s">
        <v>14</v>
      </c>
      <c r="J40" s="14">
        <v>46343</v>
      </c>
      <c r="K40" s="11"/>
      <c r="L40" s="11"/>
      <c r="M40" s="11"/>
      <c r="N40" s="11" t="s">
        <v>58</v>
      </c>
      <c r="O40" s="11"/>
      <c r="P40" s="14"/>
      <c r="Q40" s="15"/>
      <c r="R40" s="14"/>
      <c r="S40" s="15"/>
      <c r="T40" s="16"/>
      <c r="U40" s="15"/>
      <c r="V40" s="14"/>
      <c r="W40" s="15"/>
      <c r="X40" s="16"/>
      <c r="Y40" s="17" t="s">
        <v>59</v>
      </c>
      <c r="Z40" s="18"/>
      <c r="AA40" s="10" t="s">
        <v>166</v>
      </c>
      <c r="AB40" s="13"/>
      <c r="AC40" s="13"/>
      <c r="AD40" s="13"/>
      <c r="AE40" s="13"/>
      <c r="AF40" s="13"/>
      <c r="AG40" s="13"/>
      <c r="AH40" s="10"/>
      <c r="AI40" s="10" t="s">
        <v>61</v>
      </c>
      <c r="AJ40" s="19"/>
    </row>
    <row r="41" spans="1:36" x14ac:dyDescent="0.25">
      <c r="A41" s="10" t="s">
        <v>163</v>
      </c>
      <c r="B41" s="11" t="s">
        <v>167</v>
      </c>
      <c r="C41" s="12" t="e" vm="77">
        <v>#VALUE!</v>
      </c>
      <c r="D41" s="11" t="e" cm="1" vm="78">
        <f t="array" aca="1" ref="D41" ca="1">_FV(C41,"Image")</f>
        <v>#VALUE!</v>
      </c>
      <c r="E41" s="11" t="s">
        <v>138</v>
      </c>
      <c r="F41" s="11" t="s">
        <v>73</v>
      </c>
      <c r="G41" s="13" t="s">
        <v>56</v>
      </c>
      <c r="H41" s="10" t="s">
        <v>57</v>
      </c>
      <c r="I41" s="11" t="s">
        <v>14</v>
      </c>
      <c r="J41" s="14">
        <v>46343</v>
      </c>
      <c r="K41" s="11"/>
      <c r="L41" s="11"/>
      <c r="M41" s="11"/>
      <c r="N41" s="11" t="s">
        <v>58</v>
      </c>
      <c r="O41" s="11"/>
      <c r="P41" s="14"/>
      <c r="Q41" s="15"/>
      <c r="R41" s="14"/>
      <c r="S41" s="15"/>
      <c r="T41" s="16"/>
      <c r="U41" s="15"/>
      <c r="V41" s="14"/>
      <c r="W41" s="15"/>
      <c r="X41" s="16"/>
      <c r="Y41" s="17" t="s">
        <v>59</v>
      </c>
      <c r="Z41" s="18"/>
      <c r="AA41" s="10"/>
      <c r="AB41" s="13"/>
      <c r="AC41" s="13"/>
      <c r="AD41" s="13"/>
      <c r="AE41" s="13"/>
      <c r="AF41" s="13"/>
      <c r="AG41" s="13"/>
      <c r="AH41" s="10"/>
      <c r="AI41" s="10" t="s">
        <v>61</v>
      </c>
      <c r="AJ41" s="19"/>
    </row>
    <row r="42" spans="1:36" x14ac:dyDescent="0.25">
      <c r="A42" s="10" t="s">
        <v>163</v>
      </c>
      <c r="B42" s="11" t="s">
        <v>8</v>
      </c>
      <c r="C42" s="12" t="e" vm="79">
        <v>#VALUE!</v>
      </c>
      <c r="D42" s="11" t="e" cm="1" vm="80">
        <f t="array" aca="1" ref="D42" ca="1">_FV(C42,"Image")</f>
        <v>#VALUE!</v>
      </c>
      <c r="E42" s="11" t="s">
        <v>168</v>
      </c>
      <c r="F42" s="11" t="s">
        <v>73</v>
      </c>
      <c r="G42" s="13" t="s">
        <v>56</v>
      </c>
      <c r="H42" s="10" t="s">
        <v>57</v>
      </c>
      <c r="I42" s="11" t="s">
        <v>1</v>
      </c>
      <c r="J42" s="14">
        <v>46343</v>
      </c>
      <c r="K42" s="11"/>
      <c r="L42" s="11"/>
      <c r="M42" s="11"/>
      <c r="N42" s="11" t="s">
        <v>58</v>
      </c>
      <c r="O42" s="11"/>
      <c r="P42" s="14"/>
      <c r="Q42" s="15"/>
      <c r="R42" s="14"/>
      <c r="S42" s="15"/>
      <c r="T42" s="16"/>
      <c r="U42" s="15"/>
      <c r="V42" s="14"/>
      <c r="W42" s="15"/>
      <c r="X42" s="16"/>
      <c r="Y42" s="17" t="s">
        <v>59</v>
      </c>
      <c r="Z42" s="18"/>
      <c r="AA42" s="10" t="s">
        <v>169</v>
      </c>
      <c r="AB42" s="13"/>
      <c r="AC42" s="13"/>
      <c r="AD42" s="13" t="s">
        <v>92</v>
      </c>
      <c r="AE42" s="13" t="s">
        <v>160</v>
      </c>
      <c r="AF42" s="13"/>
      <c r="AG42" s="13"/>
      <c r="AH42" s="10"/>
      <c r="AI42" s="10" t="s">
        <v>61</v>
      </c>
      <c r="AJ42" s="19"/>
    </row>
    <row r="43" spans="1:36" x14ac:dyDescent="0.25">
      <c r="A43" s="10" t="s">
        <v>170</v>
      </c>
      <c r="B43" s="11" t="s">
        <v>171</v>
      </c>
      <c r="C43" s="12" t="e" vm="81">
        <v>#VALUE!</v>
      </c>
      <c r="D43" s="11" t="e" cm="1" vm="82">
        <f t="array" aca="1" ref="D43" ca="1">_FV(C43,"Image")</f>
        <v>#VALUE!</v>
      </c>
      <c r="E43" s="11" t="s">
        <v>138</v>
      </c>
      <c r="F43" s="11" t="s">
        <v>73</v>
      </c>
      <c r="G43" s="13" t="s">
        <v>56</v>
      </c>
      <c r="H43" s="10" t="s">
        <v>57</v>
      </c>
      <c r="I43" s="11" t="s">
        <v>14</v>
      </c>
      <c r="J43" s="14">
        <v>46343</v>
      </c>
      <c r="K43" s="11"/>
      <c r="L43" s="11"/>
      <c r="M43" s="11"/>
      <c r="N43" s="11" t="s">
        <v>58</v>
      </c>
      <c r="O43" s="11"/>
      <c r="P43" s="14"/>
      <c r="Q43" s="15"/>
      <c r="R43" s="14"/>
      <c r="S43" s="15"/>
      <c r="T43" s="16"/>
      <c r="U43" s="15"/>
      <c r="V43" s="14"/>
      <c r="W43" s="15"/>
      <c r="X43" s="16"/>
      <c r="Y43" s="17" t="s">
        <v>59</v>
      </c>
      <c r="Z43" s="18"/>
      <c r="AA43" s="10"/>
      <c r="AB43" s="13"/>
      <c r="AC43" s="13"/>
      <c r="AD43" s="13"/>
      <c r="AE43" s="13"/>
      <c r="AF43" s="13"/>
      <c r="AG43" s="13"/>
      <c r="AH43" s="10"/>
      <c r="AI43" s="10" t="s">
        <v>61</v>
      </c>
      <c r="AJ43" s="19"/>
    </row>
    <row r="44" spans="1:36" x14ac:dyDescent="0.25">
      <c r="A44" s="10" t="s">
        <v>170</v>
      </c>
      <c r="B44" s="11" t="s">
        <v>172</v>
      </c>
      <c r="C44" s="12" t="e" vm="83">
        <v>#VALUE!</v>
      </c>
      <c r="D44" s="21" t="e" cm="1" vm="84">
        <f t="array" aca="1" ref="D44" ca="1">_FV(C44,"Image")</f>
        <v>#VALUE!</v>
      </c>
      <c r="E44" s="11" t="s">
        <v>162</v>
      </c>
      <c r="F44" s="11" t="s">
        <v>73</v>
      </c>
      <c r="G44" s="13" t="s">
        <v>56</v>
      </c>
      <c r="H44" s="10" t="s">
        <v>57</v>
      </c>
      <c r="I44" s="11" t="s">
        <v>14</v>
      </c>
      <c r="J44" s="14">
        <v>46343</v>
      </c>
      <c r="K44" s="11"/>
      <c r="L44" s="11"/>
      <c r="M44" s="11"/>
      <c r="N44" s="11" t="s">
        <v>58</v>
      </c>
      <c r="O44" s="11"/>
      <c r="P44" s="14"/>
      <c r="Q44" s="15"/>
      <c r="R44" s="14"/>
      <c r="S44" s="15"/>
      <c r="T44" s="16"/>
      <c r="U44" s="15"/>
      <c r="V44" s="14"/>
      <c r="W44" s="15"/>
      <c r="X44" s="16"/>
      <c r="Y44" s="17" t="s">
        <v>59</v>
      </c>
      <c r="Z44" s="18"/>
      <c r="AA44" s="10"/>
      <c r="AB44" s="13"/>
      <c r="AC44" s="13"/>
      <c r="AD44" s="13"/>
      <c r="AE44" s="13"/>
      <c r="AF44" s="13"/>
      <c r="AG44" s="13"/>
      <c r="AH44" s="10"/>
      <c r="AI44" s="10" t="s">
        <v>61</v>
      </c>
      <c r="AJ44" s="19"/>
    </row>
    <row r="45" spans="1:36" x14ac:dyDescent="0.25">
      <c r="A45" s="10" t="s">
        <v>170</v>
      </c>
      <c r="B45" s="11" t="s">
        <v>173</v>
      </c>
      <c r="C45" s="12" t="e" vm="85">
        <v>#VALUE!</v>
      </c>
      <c r="D45" s="22" t="e" cm="1" vm="86">
        <f t="array" aca="1" ref="D45" ca="1">_FV(C45,"Image")</f>
        <v>#VALUE!</v>
      </c>
      <c r="E45" s="11" t="s">
        <v>168</v>
      </c>
      <c r="F45" s="11" t="s">
        <v>73</v>
      </c>
      <c r="G45" s="13" t="s">
        <v>56</v>
      </c>
      <c r="H45" s="10" t="s">
        <v>57</v>
      </c>
      <c r="I45" s="11" t="s">
        <v>5</v>
      </c>
      <c r="J45" s="14">
        <v>46343</v>
      </c>
      <c r="K45" s="11"/>
      <c r="L45" s="11" t="s">
        <v>65</v>
      </c>
      <c r="M45" s="11" t="s">
        <v>174</v>
      </c>
      <c r="N45" s="11" t="s">
        <v>58</v>
      </c>
      <c r="O45" s="11" t="s">
        <v>175</v>
      </c>
      <c r="P45" s="14">
        <v>46343</v>
      </c>
      <c r="Q45" s="15">
        <v>0.44444444444444442</v>
      </c>
      <c r="R45" s="14">
        <v>46343</v>
      </c>
      <c r="S45" s="15">
        <v>0.63194444444444442</v>
      </c>
      <c r="T45" s="16">
        <v>29</v>
      </c>
      <c r="U45" s="15"/>
      <c r="V45" s="14"/>
      <c r="W45" s="15"/>
      <c r="X45" s="16"/>
      <c r="Y45" s="17" t="s">
        <v>59</v>
      </c>
      <c r="Z45" s="23" t="s">
        <v>176</v>
      </c>
      <c r="AA45" s="10" t="s">
        <v>177</v>
      </c>
      <c r="AB45" s="13">
        <v>1</v>
      </c>
      <c r="AC45" s="13"/>
      <c r="AD45" s="13" t="s">
        <v>92</v>
      </c>
      <c r="AE45" s="13"/>
      <c r="AF45" s="13"/>
      <c r="AG45" s="13"/>
      <c r="AH45" s="10"/>
      <c r="AI45" s="10" t="s">
        <v>61</v>
      </c>
      <c r="AJ45" s="19">
        <v>5080</v>
      </c>
    </row>
    <row r="46" spans="1:36" x14ac:dyDescent="0.25">
      <c r="A46" s="10" t="s">
        <v>170</v>
      </c>
      <c r="B46" s="11" t="s">
        <v>178</v>
      </c>
      <c r="C46" s="12" t="e" vm="87">
        <v>#VALUE!</v>
      </c>
      <c r="D46" s="11" t="e" cm="1" vm="88">
        <f t="array" aca="1" ref="D46" ca="1">_FV(C46,"Image")</f>
        <v>#VALUE!</v>
      </c>
      <c r="E46" s="11" t="s">
        <v>54</v>
      </c>
      <c r="F46" s="11" t="s">
        <v>73</v>
      </c>
      <c r="G46" s="13" t="s">
        <v>56</v>
      </c>
      <c r="H46" s="10" t="s">
        <v>57</v>
      </c>
      <c r="I46" s="11" t="s">
        <v>1</v>
      </c>
      <c r="J46" s="14">
        <v>46343</v>
      </c>
      <c r="K46" s="11"/>
      <c r="L46" s="11"/>
      <c r="M46" s="11"/>
      <c r="N46" s="11" t="s">
        <v>58</v>
      </c>
      <c r="O46" s="11"/>
      <c r="P46" s="14"/>
      <c r="Q46" s="15"/>
      <c r="R46" s="14"/>
      <c r="S46" s="15"/>
      <c r="T46" s="16"/>
      <c r="U46" s="15"/>
      <c r="V46" s="14"/>
      <c r="W46" s="15"/>
      <c r="X46" s="16"/>
      <c r="Y46" s="17" t="s">
        <v>59</v>
      </c>
      <c r="Z46" s="18"/>
      <c r="AA46" s="10"/>
      <c r="AB46" s="13"/>
      <c r="AC46" s="24"/>
      <c r="AD46" s="13"/>
      <c r="AE46" s="13" t="s">
        <v>179</v>
      </c>
      <c r="AF46" s="13"/>
      <c r="AG46" s="13"/>
      <c r="AH46" s="10"/>
      <c r="AI46" s="10" t="s">
        <v>61</v>
      </c>
      <c r="AJ46" s="19"/>
    </row>
    <row r="47" spans="1:36" x14ac:dyDescent="0.25">
      <c r="A47" s="10" t="s">
        <v>180</v>
      </c>
      <c r="B47" s="11" t="s">
        <v>181</v>
      </c>
      <c r="C47" s="12" t="e" vm="89">
        <v>#VALUE!</v>
      </c>
      <c r="D47" s="11" t="e" cm="1" vm="90">
        <f t="array" aca="1" ref="D47" ca="1">_FV(C47,"Image")</f>
        <v>#VALUE!</v>
      </c>
      <c r="E47" s="11" t="s">
        <v>63</v>
      </c>
      <c r="F47" s="11" t="s">
        <v>73</v>
      </c>
      <c r="G47" s="13" t="s">
        <v>56</v>
      </c>
      <c r="H47" s="10" t="s">
        <v>57</v>
      </c>
      <c r="I47" s="11" t="s">
        <v>1</v>
      </c>
      <c r="J47" s="14">
        <v>46343</v>
      </c>
      <c r="K47" s="11"/>
      <c r="L47" s="11"/>
      <c r="M47" s="11"/>
      <c r="N47" s="11" t="s">
        <v>58</v>
      </c>
      <c r="O47" s="11"/>
      <c r="P47" s="14"/>
      <c r="Q47" s="15"/>
      <c r="R47" s="14"/>
      <c r="S47" s="15"/>
      <c r="T47" s="16"/>
      <c r="U47" s="15"/>
      <c r="V47" s="14"/>
      <c r="W47" s="15"/>
      <c r="X47" s="16"/>
      <c r="Y47" s="17" t="s">
        <v>59</v>
      </c>
      <c r="Z47" s="18"/>
      <c r="AA47" s="10"/>
      <c r="AB47" s="13"/>
      <c r="AC47" s="3"/>
      <c r="AD47" s="13"/>
      <c r="AE47" s="13" t="s">
        <v>182</v>
      </c>
      <c r="AF47" s="13"/>
      <c r="AG47" s="13"/>
      <c r="AH47" s="10"/>
      <c r="AI47" s="10" t="s">
        <v>61</v>
      </c>
      <c r="AJ47" s="19"/>
    </row>
    <row r="48" spans="1:36" x14ac:dyDescent="0.25">
      <c r="A48" s="10" t="s">
        <v>180</v>
      </c>
      <c r="B48" s="11" t="s">
        <v>11</v>
      </c>
      <c r="C48" s="12" t="e" vm="91">
        <v>#VALUE!</v>
      </c>
      <c r="D48" s="11" t="e" cm="1" vm="92">
        <f t="array" aca="1" ref="D48" ca="1">_FV(C48,"Image")</f>
        <v>#VALUE!</v>
      </c>
      <c r="E48" s="11" t="s">
        <v>72</v>
      </c>
      <c r="F48" s="11" t="s">
        <v>73</v>
      </c>
      <c r="G48" s="13" t="s">
        <v>56</v>
      </c>
      <c r="H48" s="10" t="s">
        <v>57</v>
      </c>
      <c r="I48" s="11" t="s">
        <v>14</v>
      </c>
      <c r="J48" s="14">
        <v>46343</v>
      </c>
      <c r="K48" s="11"/>
      <c r="L48" s="11"/>
      <c r="M48" s="11"/>
      <c r="N48" s="11" t="s">
        <v>58</v>
      </c>
      <c r="O48" s="11"/>
      <c r="P48" s="14"/>
      <c r="Q48" s="15"/>
      <c r="R48" s="14"/>
      <c r="S48" s="15"/>
      <c r="T48" s="16"/>
      <c r="U48" s="15"/>
      <c r="V48" s="14"/>
      <c r="W48" s="15"/>
      <c r="X48" s="16"/>
      <c r="Y48" s="17" t="s">
        <v>59</v>
      </c>
      <c r="Z48" s="18"/>
      <c r="AA48" s="10"/>
      <c r="AB48" s="13"/>
      <c r="AC48" s="13"/>
      <c r="AD48" s="13"/>
      <c r="AE48" s="13"/>
      <c r="AF48" s="13"/>
      <c r="AG48" s="13"/>
      <c r="AH48" s="10"/>
      <c r="AI48" s="10" t="s">
        <v>61</v>
      </c>
      <c r="AJ48" s="19"/>
    </row>
    <row r="49" spans="1:36" x14ac:dyDescent="0.25">
      <c r="A49" s="10" t="s">
        <v>180</v>
      </c>
      <c r="B49" s="11" t="s">
        <v>183</v>
      </c>
      <c r="C49" s="12" t="e" vm="93">
        <v>#VALUE!</v>
      </c>
      <c r="D49" s="11" t="e" cm="1" vm="94">
        <f t="array" aca="1" ref="D49" ca="1">_FV(C49,"Image")</f>
        <v>#VALUE!</v>
      </c>
      <c r="E49" s="11" t="s">
        <v>54</v>
      </c>
      <c r="F49" s="11" t="s">
        <v>73</v>
      </c>
      <c r="G49" s="13" t="s">
        <v>56</v>
      </c>
      <c r="H49" s="10" t="s">
        <v>57</v>
      </c>
      <c r="I49" s="11" t="s">
        <v>3</v>
      </c>
      <c r="J49" s="14">
        <v>46343</v>
      </c>
      <c r="K49" s="11"/>
      <c r="L49" s="11"/>
      <c r="M49" s="11"/>
      <c r="N49" s="11" t="s">
        <v>58</v>
      </c>
      <c r="O49" s="11"/>
      <c r="P49" s="14"/>
      <c r="Q49" s="15"/>
      <c r="R49" s="14"/>
      <c r="S49" s="15"/>
      <c r="T49" s="16"/>
      <c r="U49" s="15"/>
      <c r="V49" s="14"/>
      <c r="W49" s="15"/>
      <c r="X49" s="16"/>
      <c r="Y49" s="17" t="s">
        <v>59</v>
      </c>
      <c r="Z49" s="18" t="s">
        <v>184</v>
      </c>
      <c r="AA49" s="10" t="s">
        <v>68</v>
      </c>
      <c r="AB49" s="13"/>
      <c r="AC49" s="13"/>
      <c r="AD49" s="13" t="s">
        <v>185</v>
      </c>
      <c r="AE49" s="13" t="s">
        <v>186</v>
      </c>
      <c r="AF49" s="20"/>
      <c r="AG49" s="20"/>
      <c r="AH49" s="10"/>
      <c r="AI49" s="10" t="s">
        <v>61</v>
      </c>
      <c r="AJ49" s="19"/>
    </row>
    <row r="50" spans="1:36" x14ac:dyDescent="0.25">
      <c r="A50" s="10" t="s">
        <v>180</v>
      </c>
      <c r="B50" s="11" t="s">
        <v>187</v>
      </c>
      <c r="C50" s="12" t="e" vm="95">
        <v>#VALUE!</v>
      </c>
      <c r="D50" s="11" t="e" cm="1" vm="96">
        <f t="array" aca="1" ref="D50" ca="1">_FV(C50,"Image")</f>
        <v>#VALUE!</v>
      </c>
      <c r="E50" s="11" t="s">
        <v>168</v>
      </c>
      <c r="F50" s="11" t="s">
        <v>73</v>
      </c>
      <c r="G50" s="13" t="s">
        <v>56</v>
      </c>
      <c r="H50" s="10" t="s">
        <v>57</v>
      </c>
      <c r="I50" s="11" t="s">
        <v>1</v>
      </c>
      <c r="J50" s="14">
        <v>46343</v>
      </c>
      <c r="K50" s="11"/>
      <c r="L50" s="11"/>
      <c r="M50" s="11"/>
      <c r="N50" s="11" t="s">
        <v>58</v>
      </c>
      <c r="O50" s="11"/>
      <c r="P50" s="14"/>
      <c r="Q50" s="15"/>
      <c r="R50" s="14"/>
      <c r="S50" s="15"/>
      <c r="T50" s="16"/>
      <c r="U50" s="15"/>
      <c r="V50" s="14"/>
      <c r="W50" s="15"/>
      <c r="X50" s="16"/>
      <c r="Y50" s="17" t="s">
        <v>59</v>
      </c>
      <c r="Z50" s="18"/>
      <c r="AA50" s="10"/>
      <c r="AB50" s="13"/>
      <c r="AC50" s="13"/>
      <c r="AD50" s="13"/>
      <c r="AE50" s="13" t="s">
        <v>188</v>
      </c>
      <c r="AF50" s="13"/>
      <c r="AG50" s="13"/>
      <c r="AH50" s="10"/>
      <c r="AI50" s="10" t="s">
        <v>61</v>
      </c>
      <c r="AJ50" s="19"/>
    </row>
  </sheetData>
  <protectedRanges>
    <protectedRange sqref="I3:I50 K3:AJ50" name="Range1"/>
  </protectedRanges>
  <mergeCells count="2">
    <mergeCell ref="L1:T1"/>
    <mergeCell ref="U1:X1"/>
  </mergeCells>
  <conditionalFormatting sqref="A3:A50">
    <cfRule type="containsText" dxfId="28" priority="15" operator="containsText" text="GROUP L">
      <formula>NOT(ISERROR(SEARCH("GROUP L",A3)))</formula>
    </cfRule>
    <cfRule type="containsText" dxfId="27" priority="16" operator="containsText" text="GROUP K">
      <formula>NOT(ISERROR(SEARCH("GROUP K",A3)))</formula>
    </cfRule>
    <cfRule type="containsText" dxfId="26" priority="17" operator="containsText" text="GROUP J">
      <formula>NOT(ISERROR(SEARCH("GROUP J",A3)))</formula>
    </cfRule>
    <cfRule type="containsText" dxfId="25" priority="18" operator="containsText" text="GROUP I">
      <formula>NOT(ISERROR(SEARCH("GROUP I",A3)))</formula>
    </cfRule>
    <cfRule type="containsText" dxfId="24" priority="19" operator="containsText" text="GROUP H">
      <formula>NOT(ISERROR(SEARCH("GROUP H",A3)))</formula>
    </cfRule>
    <cfRule type="containsText" dxfId="23" priority="20" operator="containsText" text="GROUP G">
      <formula>NOT(ISERROR(SEARCH("GROUP G",A3)))</formula>
    </cfRule>
    <cfRule type="containsText" dxfId="22" priority="21" operator="containsText" text="GROUP F">
      <formula>NOT(ISERROR(SEARCH("GROUP F",A3)))</formula>
    </cfRule>
    <cfRule type="containsText" dxfId="21" priority="22" operator="containsText" text="GROUP E">
      <formula>NOT(ISERROR(SEARCH("GROUP E",A3)))</formula>
    </cfRule>
    <cfRule type="containsText" dxfId="20" priority="23" operator="containsText" text="GROUP D">
      <formula>NOT(ISERROR(SEARCH("GROUP D",A3)))</formula>
    </cfRule>
    <cfRule type="containsText" dxfId="19" priority="24" operator="containsText" text="GROUP C">
      <formula>NOT(ISERROR(SEARCH("GROUP C",A3)))</formula>
    </cfRule>
    <cfRule type="containsText" dxfId="18" priority="25" operator="containsText" text="GROUP A">
      <formula>NOT(ISERROR(SEARCH("GROUP A",A3)))</formula>
    </cfRule>
    <cfRule type="containsText" dxfId="17" priority="26" operator="containsText" text="GROUP B">
      <formula>NOT(ISERROR(SEARCH("GROUP B",A3)))</formula>
    </cfRule>
  </conditionalFormatting>
  <conditionalFormatting sqref="C3:D50">
    <cfRule type="duplicateValues" dxfId="16" priority="30"/>
  </conditionalFormatting>
  <conditionalFormatting sqref="G2:H2">
    <cfRule type="duplicateValues" dxfId="15" priority="10"/>
  </conditionalFormatting>
  <conditionalFormatting sqref="G3:H50">
    <cfRule type="timePeriod" dxfId="14" priority="6" timePeriod="last7Days">
      <formula>AND(TODAY()-FLOOR(G3,1)&lt;=6,FLOOR(G3,1)&lt;=TODAY())</formula>
    </cfRule>
    <cfRule type="timePeriod" dxfId="13" priority="7" timePeriod="yesterday">
      <formula>FLOOR(G3,1)=TODAY()-1</formula>
    </cfRule>
    <cfRule type="timePeriod" dxfId="12" priority="8" timePeriod="tomorrow">
      <formula>FLOOR(G3,1)=TODAY()+1</formula>
    </cfRule>
    <cfRule type="timePeriod" dxfId="11" priority="9" timePeriod="today">
      <formula>FLOOR(G3,1)=TODAY()</formula>
    </cfRule>
  </conditionalFormatting>
  <conditionalFormatting sqref="I3:I50">
    <cfRule type="containsText" dxfId="10" priority="4" operator="containsText" text="BOOKED">
      <formula>NOT(ISERROR(SEARCH("BOOKED",I3)))</formula>
    </cfRule>
  </conditionalFormatting>
  <conditionalFormatting sqref="J3:J50">
    <cfRule type="timePeriod" dxfId="9" priority="11" timePeriod="last7Days">
      <formula>AND(TODAY()-FLOOR(J3,1)&lt;=6,FLOOR(J3,1)&lt;=TODAY())</formula>
    </cfRule>
    <cfRule type="timePeriod" dxfId="8" priority="12" timePeriod="yesterday">
      <formula>FLOOR(J3,1)=TODAY()-1</formula>
    </cfRule>
    <cfRule type="timePeriod" dxfId="7" priority="13" timePeriod="tomorrow">
      <formula>FLOOR(J3,1)=TODAY()+1</formula>
    </cfRule>
    <cfRule type="timePeriod" dxfId="6" priority="14" timePeriod="today">
      <formula>FLOOR(J3,1)=TODAY()</formula>
    </cfRule>
  </conditionalFormatting>
  <conditionalFormatting sqref="L1">
    <cfRule type="duplicateValues" dxfId="5" priority="28"/>
  </conditionalFormatting>
  <conditionalFormatting sqref="N3:N50">
    <cfRule type="containsText" dxfId="4" priority="3" operator="containsText" text="BOOKED">
      <formula>NOT(ISERROR(SEARCH("BOOKED",N3)))</formula>
    </cfRule>
  </conditionalFormatting>
  <conditionalFormatting sqref="T3:T50">
    <cfRule type="cellIs" dxfId="3" priority="1" operator="between">
      <formula>1</formula>
      <formula>29</formula>
    </cfRule>
    <cfRule type="cellIs" dxfId="2" priority="2" operator="greaterThan">
      <formula>29</formula>
    </cfRule>
  </conditionalFormatting>
  <conditionalFormatting sqref="U1">
    <cfRule type="duplicateValues" dxfId="1" priority="27"/>
  </conditionalFormatting>
  <conditionalFormatting sqref="Y2:AJ2 A2:F2 I2:K2">
    <cfRule type="duplicateValues" dxfId="0" priority="29"/>
  </conditionalFormatting>
  <hyperlinks>
    <hyperlink ref="C35" location="BRA!A1" display="Brazil" xr:uid="{96A0A8BC-8152-4D19-BAA0-BF4E5B91FB15}"/>
    <hyperlink ref="C11" location="ARG!A1" display="ARG!A1" xr:uid="{E5C32BF6-83F1-4406-9282-FC86F58DAAAA}"/>
    <hyperlink ref="C47" location="COL!A1" display="COL!A1" xr:uid="{EA4BB4AD-2842-4392-B680-52DF729919B6}"/>
    <hyperlink ref="C7" location="ECU!A1" display="ECU!A1" xr:uid="{DB500146-4FB8-4029-BEF3-8BA4D5671A1C}"/>
    <hyperlink ref="C18" location="URU!A1" display="URU!A1" xr:uid="{5BF29993-397E-4C6E-92B1-A45A20CF0B55}"/>
    <hyperlink ref="C23" location="CRO!A1" display="CRO!A1" xr:uid="{438DCC55-88B1-4E83-8EED-0496151E9BE8}"/>
    <hyperlink ref="C15" location="FRA!A1" display="FRA!A1" xr:uid="{47932C37-2AA5-4F37-8396-DD5F9C8DFDA7}"/>
    <hyperlink ref="C20" location="ITA!A1" display="ITA!A1" xr:uid="{4E3788DC-06AD-4966-8E30-9C7DE39FF736}"/>
    <hyperlink ref="C37" location="IRL!A1" display="IRL!A1" xr:uid="{6FE2B705-AE8C-4E60-98A7-659535AA6E2B}"/>
    <hyperlink ref="C6" location="QAT!A1" display="QAT!A1" xr:uid="{D1807FD7-FF89-465E-B6A8-30A7310A35C4}"/>
    <hyperlink ref="C36" location="CRC!A1" display="CRC!A1" xr:uid="{3750F658-35B9-4BA3-BD4D-AA583DAA5AFD}"/>
    <hyperlink ref="C42" location="USA!A1" display="USA!A1" xr:uid="{DA581DB8-FC61-464B-8C13-1D5D14E08FE7}"/>
    <hyperlink ref="C5" location="PAN!A1" display="PAN!A1" xr:uid="{A20ABC12-00DB-46F6-999F-967A7BC66FE6}"/>
    <hyperlink ref="C16" location="HAI!Print_Area" display="HAI!Print_Area" xr:uid="{EC0FF109-4925-483C-B243-59EE834D094A}"/>
    <hyperlink ref="C21" location="JAM!A1" display="JAM!A1" xr:uid="{3D64BD51-5951-4601-9074-EF9EE98FBDDB}"/>
    <hyperlink ref="C24" location="CUB!Print_Area" display="CUB!Print_Area" xr:uid="{56C0A9C0-CBBB-4A8C-8848-8BC1D47EDB06}"/>
    <hyperlink ref="C48" location="HON!A1" display="HON!A1" xr:uid="{167E0F4F-E20B-4965-8568-7F828C924F3E}"/>
    <hyperlink ref="C44" location="MEX!A1" display="MEX!A1" xr:uid="{14200450-7BA2-44E0-8BBA-8FCEED787389}"/>
    <hyperlink ref="C9" location="NCL!A1" display="NCL!A1" xr:uid="{8573D6C5-DB1E-4CAD-9917-EE428F2ADAF9}"/>
    <hyperlink ref="C33" location="FIJ!A1" display="FIJ!A1" xr:uid="{51472885-E84F-4684-8147-F93E8695949F}"/>
    <hyperlink ref="C32" location="ESP!A1" display="ESP!A1" xr:uid="{02DDD767-4E2A-488A-B02D-0E7D53C82C46}"/>
    <hyperlink ref="C27" location="BEL!A1" display="BEL!A1" xr:uid="{6A14B047-2E97-4276-A683-94B0C14AA90F}"/>
    <hyperlink ref="C13" location="DNK!A1" display="DNK!A1" xr:uid="{633BB0D4-612D-4836-93E6-B7C2A1F75AFC}"/>
    <hyperlink ref="C50" location="SRB!A1" display="SRB!A1" xr:uid="{AB3E5530-43E6-45C7-ADAD-8C1A594831AD}"/>
    <hyperlink ref="C45" location="ROU!A1" display="ROU!A1" xr:uid="{A1376AFB-E48E-4E46-9863-04D51DC22B24}"/>
    <hyperlink ref="C4" location="GRE!A1" display="GRE!A1" xr:uid="{CEE40652-BC90-4303-94F9-EACF01514C14}"/>
    <hyperlink ref="C40" location="CHI!A1" display="CHI!A1" xr:uid="{AD2FF450-0EC3-44D1-A9B6-986CF3B70467}"/>
    <hyperlink ref="C46" location="VEN!A1" display="VEN!A1" xr:uid="{A9781396-5505-48B3-92DA-6B581B953483}"/>
    <hyperlink ref="C17" location="KSA!Print_Area" display="KSA!Print_Area" xr:uid="{F1896886-2EEF-4E45-9B8F-B4CC4F278EC3}"/>
    <hyperlink ref="C26" location="TJK!Print_Area" display="TJK!Print_Area" xr:uid="{75313B90-E4B0-472C-9E3A-91109AFD465B}"/>
    <hyperlink ref="C22" location="UZB!Print_Area" display="UZB!Print_Area" xr:uid="{A33C114B-76C3-42CD-9C5B-1A356E126EFB}"/>
    <hyperlink ref="C12" location="AUS!Print_Area" display="AUS!Print_Area" xr:uid="{BB4B8822-4765-48B7-9FE7-6134EF6D21A4}"/>
    <hyperlink ref="C49" location="JPN!Print_Area" display="JPN!Print_Area" xr:uid="{FED40E0A-FC4C-4175-A450-283732C69B7F}"/>
    <hyperlink ref="C31" location="CHN!Print_Area" display="CHN!Print_Area" xr:uid="{F38EE3AD-6EDF-4C1C-ABAE-2FF3D73C19F9}"/>
    <hyperlink ref="C30" location="VIE!Print_Area" display="VIE!Print_Area" xr:uid="{6BD87D6C-7FAE-4BAB-ABE3-4D0602A55699}"/>
    <hyperlink ref="C8" location="KOR!Print_Area" display="KOR!Print_Area" xr:uid="{9E0D5FE8-4622-4502-A357-DAD3C120E825}"/>
    <hyperlink ref="C38" location="TAN!Print_Area" display="TAN!Print_Area" xr:uid="{6F427457-3354-485B-A5EA-E2D93A2D82FE}"/>
    <hyperlink ref="C19" location="CIV!Print_Area" display="CIV!Print_Area" xr:uid="{82399024-D544-44F8-A989-9AD9DF878760}"/>
    <hyperlink ref="C43" location="CMR!Print_Area" display="CMR!Print_Area" xr:uid="{FBC44BC3-716E-43D2-9A14-90BB8ABCCC5B}"/>
    <hyperlink ref="C3" location="EGY!Print_Area" display="EGY!Print_Area" xr:uid="{6D666E6E-5038-4C29-8B3F-E4303C10791D}"/>
    <hyperlink ref="C34" location="MAR!Print_Area" display="MAR!Print_Area" xr:uid="{300F7A23-68F6-4844-B09B-DD9F0AD3C4BB}"/>
    <hyperlink ref="C29" location="NZL!Print_Area" display="NZL!Print_Area" xr:uid="{E2B365A0-682C-4005-A364-C4AF5930210A}"/>
    <hyperlink ref="C41" location="MNE!Print_Area" display="MNE!Print_Area" xr:uid="{75E6DC00-6D7F-46F2-8A75-E09C2AB47E48}"/>
    <hyperlink ref="C39" location="ALG!Print_Area" display="ALG!Print_Area" xr:uid="{27F504CE-2224-4EDB-9D44-C8EAFDAF7C55}"/>
    <hyperlink ref="C25" location="SEN!Print_Area" display="SEN!Print_Area" xr:uid="{1965E522-5F04-4637-9BEF-D50CB46A0D80}"/>
    <hyperlink ref="C28" location="MLI!Print_Area" display="MLI!Print_Area" xr:uid="{762B6E38-7354-432E-96BD-7C523619351C}"/>
    <hyperlink ref="C14" location="MOZ!Print_Area" display="MOZ!Print_Area" xr:uid="{58E36897-F56E-4F55-99F9-EC59E36DFDD2}"/>
    <hyperlink ref="C10" location="UGA!Print_Area" display="UGA!Print_Area" xr:uid="{80FF2EF0-7776-4301-80F6-B9D01D305A05}"/>
  </hyperlinks>
  <pageMargins left="0.7" right="0.7" top="0.75" bottom="0.75" header="0.3" footer="0.3"/>
  <headerFooter>
    <oddHeader>&amp;L&amp;"Aptos"&amp;12&amp;K800080 SC Classification:PUBLIC&amp;1#_x000D_</oddHeader>
  </headerFooter>
</worksheet>
</file>

<file path=docMetadata/LabelInfo.xml><?xml version="1.0" encoding="utf-8"?>
<clbl:labelList xmlns:clbl="http://schemas.microsoft.com/office/2020/mipLabelMetadata">
  <clbl:label id="{78c04dc0-3755-4291-9447-c813dd2135c8}" enabled="1" method="Privileged" siteId="{993ca615-6bd5-4d1c-8a7b-a1a99efc64b7}"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Raafat Sabha</dc:creator>
  <cp:lastModifiedBy>Raafat Sabha</cp:lastModifiedBy>
  <dcterms:created xsi:type="dcterms:W3CDTF">2026-08-22T03:17:25Z</dcterms:created>
  <dcterms:modified xsi:type="dcterms:W3CDTF">2026-08-22T04:20:37Z</dcterms:modified>
</cp:coreProperties>
</file>