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scqa0.sharepoint.com/sites/HCEventLogistics/Shared Documents/General/LOG05 Site Logistics Operations/01 - Events and Projects/2026/FWCU17/PMA U17 2026/Resource Planning/"/>
    </mc:Choice>
  </mc:AlternateContent>
  <xr:revisionPtr revIDLastSave="0" documentId="8_{8226DC09-312C-494E-90A9-629E5D0C3E17}" xr6:coauthVersionLast="47" xr6:coauthVersionMax="47" xr10:uidLastSave="{00000000-0000-0000-0000-000000000000}"/>
  <bookViews>
    <workbookView xWindow="-110" yWindow="-110" windowWidth="19420" windowHeight="11500" tabRatio="500" firstSheet="2" activeTab="2" xr2:uid="{00000000-000D-0000-FFFF-FFFF00000000}"/>
  </bookViews>
  <sheets>
    <sheet name="Main Dashboard" sheetId="6" r:id="rId1"/>
    <sheet name="Hotel Team Schedule" sheetId="11" r:id="rId2"/>
    <sheet name="Duty Schedule Job list" sheetId="7" r:id="rId3"/>
    <sheet name="Match Schedule" sheetId="3" r:id="rId4"/>
    <sheet name=" Hotel Roster Summary" sheetId="4" state="hidden" r:id="rId5"/>
    <sheet name="Resource Optimization" sheetId="5" r:id="rId6"/>
    <sheet name=" Duty Schedule" sheetId="2" r:id="rId7"/>
    <sheet name="KO Time Schedule" sheetId="10" r:id="rId8"/>
  </sheets>
  <definedNames>
    <definedName name="_xlnm._FilterDatabase" localSheetId="6" hidden="1">' Duty Schedule'!$C$1:$C$60</definedName>
    <definedName name="_xlnm._FilterDatabase" localSheetId="2" hidden="1">'Duty Schedule Job list'!$A$2:$M$146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3" l="1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5" i="3"/>
  <c r="I6" i="3"/>
  <c r="I7" i="3"/>
  <c r="I8" i="3"/>
  <c r="I9" i="3"/>
  <c r="I10" i="3"/>
  <c r="I11" i="3"/>
  <c r="I4" i="3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4" i="7"/>
  <c r="K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Aida Shorukove</author>
  </authors>
  <commentList>
    <comment ref="D37" authorId="0" shapeId="0" xr:uid="{ACED9EEE-96ED-4543-BD04-1D89F0BBECC2}">
      <text>
        <r>
          <rPr>
            <sz val="11"/>
            <color theme="1"/>
            <rFont val="Calibri"/>
            <family val="2"/>
            <charset val="1"/>
          </rPr>
          <t xml:space="preserve">Aida Shorukove: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<sst xmlns="http://schemas.openxmlformats.org/spreadsheetml/2006/main" count="2770" uniqueCount="846">
  <si>
    <t>FIFA U17 WORLD CUP QATAR 2026™ — HOTEL-BASED KIT LOADING CREW &amp; SUPERVISOR SCHEDULE</t>
  </si>
  <si>
    <t>19 - November to 13 -December  2026    |  All times local Doha (AST/UTC+3)  |  Crew is HOTEL-BASED, does not travel to venue  |  Report time = KO −4h30</t>
  </si>
  <si>
    <t>Legend:</t>
  </si>
  <si>
    <t>GS = Group Stage</t>
  </si>
  <si>
    <t>R32 = Round of 32</t>
  </si>
  <si>
    <t>1 Team per Hotel</t>
  </si>
  <si>
    <t>2 Teams per Hotel</t>
  </si>
  <si>
    <t>3 Teams per Hotel</t>
  </si>
  <si>
    <t>4+ Teams per Hotel (Peak)</t>
  </si>
  <si>
    <t>G  R  O  U  P     S  T  A  G  E</t>
  </si>
  <si>
    <t>REST DAY</t>
  </si>
  <si>
    <t xml:space="preserve">R O U N D  OF  32 </t>
  </si>
  <si>
    <t>R O U N D  OF  16</t>
  </si>
  <si>
    <t>QTR FINALS</t>
  </si>
  <si>
    <t>SEMI FINALS</t>
  </si>
  <si>
    <t>FINALS</t>
  </si>
  <si>
    <t>Hotel (TBHC)</t>
  </si>
  <si>
    <t>Active
Days</t>
  </si>
  <si>
    <t>Peak
Crew</t>
  </si>
  <si>
    <t>#
Teams</t>
  </si>
  <si>
    <t xml:space="preserve">BEST PLAZA WEST BAY HOTEL </t>
  </si>
  <si>
    <r>
      <rPr>
        <sz val="8"/>
        <color rgb="FFFFFFFF"/>
        <rFont val="Arial"/>
      </rPr>
      <t xml:space="preserve">3 Team (2 team) 
</t>
    </r>
    <r>
      <rPr>
        <sz val="8"/>
        <color rgb="FF000000"/>
        <rFont val="Arial"/>
      </rPr>
      <t>UGA 12:00
MOZ 13:30
QAT 14:00</t>
    </r>
  </si>
  <si>
    <t>—</t>
  </si>
  <si>
    <r>
      <rPr>
        <sz val="8"/>
        <color rgb="FFFFFFFF"/>
        <rFont val="Arial"/>
      </rPr>
      <t xml:space="preserve">3 Team
</t>
    </r>
    <r>
      <rPr>
        <sz val="8"/>
        <color rgb="FF000000"/>
        <rFont val="Arial"/>
      </rPr>
      <t>UGA 11:30
QAT 13:30
MOZ 14:00</t>
    </r>
  </si>
  <si>
    <r>
      <rPr>
        <sz val="8"/>
        <color rgb="FFFFFFFF"/>
        <rFont val="Arial"/>
      </rPr>
      <t xml:space="preserve">3 Team
</t>
    </r>
    <r>
      <rPr>
        <sz val="8"/>
        <color rgb="FF000000"/>
        <rFont val="Arial"/>
      </rPr>
      <t>UGA 11:00
QAT 13:00
MOZ 14:00</t>
    </r>
  </si>
  <si>
    <t>CROWN PLAZA DOHA-THE BUSINESS PARK</t>
  </si>
  <si>
    <t>URU 14:30</t>
  </si>
  <si>
    <t>2 Teams
CRO 14:00
ITA 14:30</t>
  </si>
  <si>
    <t>URU 14:00</t>
  </si>
  <si>
    <t>2 Teams
CRO 11:00
ITA 13:00</t>
  </si>
  <si>
    <t>URU 12:00</t>
  </si>
  <si>
    <t>2 Teams
ITA 12:30
CRO 14:30</t>
  </si>
  <si>
    <t>DUSIT D2 SALWA DOHA</t>
  </si>
  <si>
    <t>2 Teams
BEL 11:30
MOR 12:30</t>
  </si>
  <si>
    <r>
      <rPr>
        <sz val="9"/>
        <color rgb="FFFFFFFF"/>
        <rFont val="Arial"/>
      </rPr>
      <t xml:space="preserve">3 Team
</t>
    </r>
    <r>
      <rPr>
        <sz val="9"/>
        <color rgb="FF000000"/>
        <rFont val="Arial"/>
      </rPr>
      <t>MON 13:00
BRA 13:30
CAM 14:00</t>
    </r>
  </si>
  <si>
    <t>2 Teams
MOR 13:30
BEL 14:00</t>
  </si>
  <si>
    <r>
      <rPr>
        <sz val="8"/>
        <color rgb="FFFFFFFF"/>
        <rFont val="Arial"/>
      </rPr>
      <t xml:space="preserve">3 Team
</t>
    </r>
    <r>
      <rPr>
        <sz val="8"/>
        <color rgb="FF000000"/>
        <rFont val="Arial"/>
      </rPr>
      <t>MON 12:00
BRA 13:30
CAM 14:00</t>
    </r>
  </si>
  <si>
    <t>2 Teams
BEL 11:30
MOR 13:30</t>
  </si>
  <si>
    <r>
      <rPr>
        <sz val="8"/>
        <color rgb="FFFFFFFF"/>
        <rFont val="Arial"/>
      </rPr>
      <t xml:space="preserve">3 Team
</t>
    </r>
    <r>
      <rPr>
        <sz val="8"/>
        <color rgb="FF000000"/>
        <rFont val="Arial"/>
      </rPr>
      <t>BRA 12:30
MON 13:30
CAM 14:30</t>
    </r>
  </si>
  <si>
    <t>EZDAN PALACE HOTEL</t>
  </si>
  <si>
    <t>2 Teams
NCL 11:30
PAN 14:00</t>
  </si>
  <si>
    <t>HON 11:00</t>
  </si>
  <si>
    <t>PAN 11:00</t>
  </si>
  <si>
    <t>HON 14:00</t>
  </si>
  <si>
    <t>2 Teams
NCL 11:00
PAN 12:00</t>
  </si>
  <si>
    <t>HON 11:30</t>
  </si>
  <si>
    <t>EZDAN TOWERS HOTEL</t>
  </si>
  <si>
    <t>2 Teams
FRA 11:30
DEN 13:30</t>
  </si>
  <si>
    <t>2 Teams
CUB 11:30
JAM 14:30</t>
  </si>
  <si>
    <t>2 Teams
DEN 11:00
FRA 12:00</t>
  </si>
  <si>
    <t>2 Teams
JAM 11:30
CUB 12:00</t>
  </si>
  <si>
    <t>2 Teams
FRA 12:00
DEN 14:00</t>
  </si>
  <si>
    <t>2 Teams
JAM 12:30
CUB 14:30</t>
  </si>
  <si>
    <t>HOLIDAY INN DOHA-THE BUSINESS PARK</t>
  </si>
  <si>
    <t>2 Teams
VIE 11:30
SPA 14:30</t>
  </si>
  <si>
    <t>IRL 13:30</t>
  </si>
  <si>
    <t>2 Teams
SPA 11:00
VIE 14:00</t>
  </si>
  <si>
    <t>IRL 11:00</t>
  </si>
  <si>
    <t>2 Teams
VIE 11:30
SPA 13:30</t>
  </si>
  <si>
    <t>IRL 12:30</t>
  </si>
  <si>
    <t>HOLIDAY VILLA HOTEL &amp; RESIDENCE DOHA</t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</si>
  <si>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>ECU 11:30
HAI 11:30
EGY 12:30
ARG 14:30</t>
    </r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</si>
  <si>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 xml:space="preserve">CIV 11:30
</t>
    </r>
    <r>
      <rPr>
        <b/>
        <sz val="8"/>
        <color rgb="FF00B050"/>
        <rFont val="Arial"/>
      </rPr>
      <t xml:space="preserve">TJK 11:30
MLI 12:00
</t>
    </r>
    <r>
      <rPr>
        <b/>
        <sz val="8"/>
        <color rgb="FF000000"/>
        <rFont val="Arial"/>
      </rPr>
      <t>CHN 14:30</t>
    </r>
  </si>
  <si>
    <r>
      <rPr>
        <sz val="9"/>
        <color rgb="FFFFFFFF"/>
        <rFont val="Arial"/>
      </rPr>
      <t xml:space="preserve">3 Team
</t>
    </r>
    <r>
      <rPr>
        <sz val="9"/>
        <color rgb="FF000000"/>
        <rFont val="Arial"/>
      </rPr>
      <t>JAP 11:00
CHI 12:00
VEN 14:00</t>
    </r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</si>
  <si>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>ECU 11:30
EGY 13:30
ARG 14:00
HAI 14:00</t>
    </r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</si>
  <si>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>TJK 11:00
CIV 13:00
CHN 13:30
MLI 14:00</t>
    </r>
  </si>
  <si>
    <r>
      <rPr>
        <sz val="8"/>
        <color rgb="FFFFFFFF"/>
        <rFont val="Arial"/>
      </rPr>
      <t xml:space="preserve">3 Team
</t>
    </r>
    <r>
      <rPr>
        <b/>
        <sz val="8"/>
        <color rgb="FF000000"/>
        <rFont val="Arial"/>
      </rPr>
      <t xml:space="preserve">VEN 11:00
JAP 11:30
</t>
    </r>
    <r>
      <rPr>
        <sz val="8"/>
        <color rgb="FF000000"/>
        <rFont val="Arial"/>
      </rPr>
      <t>CHI 13:00</t>
    </r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</si>
  <si>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>ECU 11:00
EGY 12:00
HAI 12:00
ARG 14:00</t>
    </r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</si>
  <si>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>MLI 11:30
CIV 12:30
CHN 13:30
TJK 14:30</t>
    </r>
  </si>
  <si>
    <r>
      <rPr>
        <sz val="8"/>
        <color rgb="FFFFFFFF"/>
        <rFont val="Arial"/>
      </rPr>
      <t xml:space="preserve">3 Team
</t>
    </r>
    <r>
      <rPr>
        <sz val="8"/>
        <color rgb="FF000000"/>
        <rFont val="Arial"/>
      </rPr>
      <t>JAP 11:30
CHI 13:30
VEN 14:30</t>
    </r>
  </si>
  <si>
    <t>MILLENIUM HOTEL DOHA</t>
  </si>
  <si>
    <r>
      <rPr>
        <sz val="9"/>
        <color rgb="FFFFFFFF"/>
        <rFont val="Arial"/>
      </rPr>
      <t xml:space="preserve">3 Team
</t>
    </r>
    <r>
      <rPr>
        <sz val="9"/>
        <color rgb="FF000000"/>
        <rFont val="Arial"/>
      </rPr>
      <t>ALG 12:00
TAN 13:30
MEX 14:00</t>
    </r>
  </si>
  <si>
    <r>
      <rPr>
        <sz val="8"/>
        <color rgb="FFFFFFFF"/>
        <rFont val="Arial"/>
      </rPr>
      <t xml:space="preserve">3 Team
</t>
    </r>
    <r>
      <rPr>
        <sz val="8"/>
        <color rgb="FF000000"/>
        <rFont val="Arial"/>
      </rPr>
      <t>ALG 12:00
TAN 13:30
MEX 14:00</t>
    </r>
  </si>
  <si>
    <r>
      <rPr>
        <sz val="8"/>
        <color rgb="FFFFFFFF"/>
        <rFont val="Arial"/>
      </rPr>
      <t xml:space="preserve">3 Team
</t>
    </r>
    <r>
      <rPr>
        <sz val="8"/>
        <color rgb="FF000000"/>
        <rFont val="Arial"/>
      </rPr>
      <t>TAN 12:30
ALG 13:30
MEX 14:30</t>
    </r>
  </si>
  <si>
    <t>RADISSON BLU HOTEL DOHA</t>
  </si>
  <si>
    <r>
      <rPr>
        <b/>
        <sz val="8"/>
        <color rgb="FFFF0000"/>
        <rFont val="Arial"/>
      </rPr>
      <t xml:space="preserve">4 Team 
</t>
    </r>
    <r>
      <rPr>
        <b/>
        <u/>
        <sz val="8"/>
        <color rgb="FF00B050"/>
        <rFont val="Arial"/>
      </rPr>
      <t xml:space="preserve">KOR 12:00
GRE 12:30
</t>
    </r>
    <r>
      <rPr>
        <b/>
        <sz val="8"/>
        <color rgb="FF000000"/>
        <rFont val="Arial"/>
      </rPr>
      <t>AUS 14:30
KSA 14:30</t>
    </r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</si>
  <si>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 xml:space="preserve">UZB 11:30
</t>
    </r>
    <r>
      <rPr>
        <b/>
        <sz val="8"/>
        <color rgb="FF00B050"/>
        <rFont val="Arial"/>
      </rPr>
      <t xml:space="preserve">NZL 12:00
FIJ 12:30
</t>
    </r>
    <r>
      <rPr>
        <b/>
        <sz val="8"/>
        <color rgb="FF000000"/>
        <rFont val="Arial"/>
      </rPr>
      <t>SEN 14:00</t>
    </r>
  </si>
  <si>
    <t>2 Teams
COL 11:00
CRC 13:30</t>
  </si>
  <si>
    <r>
      <rPr>
        <b/>
        <u/>
        <sz val="8"/>
        <color rgb="FF000000"/>
        <rFont val="Arial"/>
      </rPr>
      <t xml:space="preserve">5 Team
</t>
    </r>
    <r>
      <rPr>
        <b/>
        <sz val="8"/>
        <color rgb="FF000000"/>
        <rFont val="Arial"/>
      </rPr>
      <t>GRE 11:00
AUS 11:00
KSA 12:00
KOR 13:00
NZL 13:00</t>
    </r>
  </si>
  <si>
    <r>
      <rPr>
        <b/>
        <sz val="8"/>
        <color rgb="FFFF0000"/>
        <rFont val="Arial"/>
      </rPr>
      <t xml:space="preserve">4 Team 
</t>
    </r>
    <r>
      <rPr>
        <b/>
        <sz val="8"/>
        <color rgb="FF00B050"/>
        <rFont val="Arial"/>
      </rPr>
      <t xml:space="preserve">FIJ 11:00
UZB 11:30
</t>
    </r>
    <r>
      <rPr>
        <b/>
        <sz val="8"/>
        <color rgb="FF000000"/>
        <rFont val="Arial"/>
      </rPr>
      <t>SEN 12:00
NZL 14:00</t>
    </r>
  </si>
  <si>
    <t>2 Teams 
CRC 11:00
COL 14:00</t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</si>
  <si>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>KOR 11:00
KSA 12:00
GRE 13:00
AUS 14:00</t>
    </r>
  </si>
  <si>
    <r>
      <rPr>
        <b/>
        <sz val="8"/>
        <color rgb="FFFF0000"/>
        <rFont val="Arial"/>
      </rPr>
      <t xml:space="preserve">4 Team 
</t>
    </r>
    <r>
      <rPr>
        <b/>
        <sz val="8"/>
        <color rgb="FF000000"/>
        <rFont val="Arial"/>
      </rPr>
      <t>NZL 11:30
UZB 12:30
FIJ 13:30
SEN 14:30</t>
    </r>
  </si>
  <si>
    <t>2 Teams
COL 11:30
CRC 12:30</t>
  </si>
  <si>
    <t>WARWICK DOHA HOTEL</t>
  </si>
  <si>
    <r>
      <rPr>
        <sz val="9"/>
        <color rgb="FFFFFFFF"/>
        <rFont val="Arial"/>
      </rPr>
      <t xml:space="preserve">3 Team 
</t>
    </r>
    <r>
      <rPr>
        <sz val="9"/>
        <color rgb="FF000000"/>
        <rFont val="Arial"/>
      </rPr>
      <t>SER 11:00
USA 13:00
ROM 14:00</t>
    </r>
  </si>
  <si>
    <r>
      <rPr>
        <sz val="8"/>
        <color rgb="FFFFFFFF"/>
        <rFont val="Arial"/>
      </rPr>
      <t xml:space="preserve">3 Team
</t>
    </r>
    <r>
      <rPr>
        <b/>
        <sz val="8"/>
        <color rgb="FF000000"/>
        <rFont val="Arial"/>
      </rPr>
      <t xml:space="preserve">ROM 11:00
SER 11:30
</t>
    </r>
    <r>
      <rPr>
        <sz val="8"/>
        <color rgb="FF000000"/>
        <rFont val="Arial"/>
      </rPr>
      <t>USA 13:00</t>
    </r>
  </si>
  <si>
    <r>
      <rPr>
        <sz val="8"/>
        <color rgb="FFFFFFFF"/>
        <rFont val="Arial"/>
      </rPr>
      <t xml:space="preserve">3 Team
</t>
    </r>
    <r>
      <rPr>
        <sz val="8"/>
        <color rgb="FF000000"/>
        <rFont val="Arial"/>
      </rPr>
      <t>SER 11:30
USA 13:30
ROM 14:30</t>
    </r>
  </si>
  <si>
    <t>TOURNAMENT TOTALS</t>
  </si>
  <si>
    <t>6H / 16 crew</t>
  </si>
  <si>
    <t>7H / 16 crew</t>
  </si>
  <si>
    <t>OPTIMIZED HOTEL-BASED CREW REQUIREMENT (sum of each hotel's peak-day crew = dedicated Supervisor+Crew teams needed)</t>
  </si>
  <si>
    <t>Total dedicated crew teams needed: 29  (vs. 48 if one Supervisor+Crew pair were assigned per country) — saving 19 teams / 40% reduction</t>
  </si>
  <si>
    <t xml:space="preserve">1. BEST PLAZA WEST BAY HOTEL </t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</si>
  <si>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UGA 12:00
MOZ 13:30
QAT 14:00</t>
    </r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</si>
  <si>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UGA 11:30
QAT 13:30
MOZ 14:00</t>
    </r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</si>
  <si>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UGA 11:00
QAT 13:00
MOZ 14:00</t>
    </r>
  </si>
  <si>
    <t>PMA kits Departure to AZS</t>
  </si>
  <si>
    <t>Team 1@12:00</t>
  </si>
  <si>
    <t>Team 1@11:30</t>
  </si>
  <si>
    <t>Team 1@11:00</t>
  </si>
  <si>
    <t xml:space="preserve"> PMA kits  Arrival from AZS</t>
  </si>
  <si>
    <t>Team 3@14:00</t>
  </si>
  <si>
    <t>2. CROWN PLAZA DOHA-THE BUSINESS PARK</t>
  </si>
  <si>
    <r>
      <rPr>
        <sz val="8"/>
        <color theme="1"/>
        <rFont val="Arial"/>
        <family val="2"/>
      </rPr>
      <t>2 PMAs (2 teams)</t>
    </r>
    <r>
      <rPr>
        <sz val="8"/>
        <rFont val="Arial"/>
        <family val="2"/>
      </rPr>
      <t xml:space="preserve">
CRO 14:00
ITA 14:30</t>
    </r>
  </si>
  <si>
    <t>2 PMAs (2 teams)
CRO 11:00
ITA 13:00</t>
  </si>
  <si>
    <t>2 PMAs (2 teams)
ITA 12:30
CRO 14:30</t>
  </si>
  <si>
    <t>Team 2@14:30</t>
  </si>
  <si>
    <t>Team 1@14:00</t>
  </si>
  <si>
    <t>Team 2@14:00</t>
  </si>
  <si>
    <t>Team 1@11:10</t>
  </si>
  <si>
    <t>Team 2@12:30</t>
  </si>
  <si>
    <t>Team 1@12:30</t>
  </si>
  <si>
    <t>Team 2@13:00</t>
  </si>
  <si>
    <t>3. DUSIT D2 SALWA DOHA</t>
  </si>
  <si>
    <t>2 PMAs (2 teams)
BEL 11:30
MOR 12:30</t>
  </si>
  <si>
    <r>
      <rPr>
        <sz val="9"/>
        <color rgb="FFFFFFFF"/>
        <rFont val="Arial"/>
      </rPr>
      <t xml:space="preserve">3 PMAs (2 team) 
</t>
    </r>
    <r>
      <rPr>
        <sz val="9"/>
        <color rgb="FF000000"/>
        <rFont val="Arial"/>
      </rPr>
      <t>MON 13:00
BRA 13:30
CAM 14:00</t>
    </r>
  </si>
  <si>
    <t>2 PMAs (2 teams)
MOR 13:30
BEL 14:00</t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</si>
  <si>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MON 12:00
BRA 13:30
CAM 14:00</t>
    </r>
  </si>
  <si>
    <t>2 PMAs (2 teams)
BEL 11:30
MOR 13:30</t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</si>
  <si>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BRA 12:30
MON 13:30
CAM 14:30</t>
    </r>
  </si>
  <si>
    <t>PMA Departure to AZS</t>
  </si>
  <si>
    <t>Team 6@ 11:30</t>
  </si>
  <si>
    <t>Team 6@13:00</t>
  </si>
  <si>
    <t>Team 6@11:30</t>
  </si>
  <si>
    <t xml:space="preserve"> PMA Arrival from AZS</t>
  </si>
  <si>
    <t>Team 5@12:30</t>
  </si>
  <si>
    <t>Team 5@ 14:30</t>
  </si>
  <si>
    <t>Team 5@ 13:30</t>
  </si>
  <si>
    <t>4. EZDAN PALACE HOTEL</t>
  </si>
  <si>
    <t>2 PMAs (2 teams)
NCL 11:30
PAN 14:00</t>
  </si>
  <si>
    <t>2 PMAs (2 teams)
NCL 11:00
PAN 12:00</t>
  </si>
  <si>
    <t>Team 4@ 11:30</t>
  </si>
  <si>
    <t>Team 4@11:00</t>
  </si>
  <si>
    <t>Team 4@14:00</t>
  </si>
  <si>
    <t>Team 4@ 11:00</t>
  </si>
  <si>
    <t>Team 4@11:30</t>
  </si>
  <si>
    <t>Team 5@ 14:00</t>
  </si>
  <si>
    <t>Team 5@ 12:00</t>
  </si>
  <si>
    <t>5. EZDAN TOWERS HOTEL</t>
  </si>
  <si>
    <t>2 PMAs (2 teams)
FRA 11:30
DEN 13:30</t>
  </si>
  <si>
    <t>2 PMAs (2 teams)
CUB 11:30
JAM 14:30</t>
  </si>
  <si>
    <t>2 PMAs (2 teams)
DEN 11:00
FRA 12:00</t>
  </si>
  <si>
    <r>
      <rPr>
        <sz val="8"/>
        <color rgb="FFFF0000"/>
        <rFont val="Arial"/>
        <family val="2"/>
      </rPr>
      <t>2 Teams (1team)</t>
    </r>
    <r>
      <rPr>
        <sz val="8"/>
        <rFont val="Arial"/>
        <family val="2"/>
      </rPr>
      <t xml:space="preserve">
JAM 11:30
CUB 12:00</t>
    </r>
  </si>
  <si>
    <t>2 PMAs (2 teams)
FRA 12:00
DEN 14:00</t>
  </si>
  <si>
    <t>2 PMAs (2 teams)
JAM 12:30
CUB 14:30</t>
  </si>
  <si>
    <t>Team 6@11:10</t>
  </si>
  <si>
    <t>Team 6@12:00</t>
  </si>
  <si>
    <t>Team 16@12:30</t>
  </si>
  <si>
    <t>Team 7@13:30</t>
  </si>
  <si>
    <t>Team 3@ 14:30</t>
  </si>
  <si>
    <t>Team 7@14:00</t>
  </si>
  <si>
    <t>Team 9@14:30</t>
  </si>
  <si>
    <t>6. HOLIDAY INN DOHA-THE BUSINESS PARK</t>
  </si>
  <si>
    <t>2 PMAs (2 teams)
VIE 11:30
SPA 14:30</t>
  </si>
  <si>
    <t>2 PMAs (2 teams)
SPA 11:00
VIE 14:00</t>
  </si>
  <si>
    <t>2 PMAs (2 teams)
VIE 11:30
SPA 13:30</t>
  </si>
  <si>
    <t>Team 11@ 11:30</t>
  </si>
  <si>
    <t>Team 11@ 11:00</t>
  </si>
  <si>
    <t>Team 7@11:00</t>
  </si>
  <si>
    <t>Team 7@12:30</t>
  </si>
  <si>
    <t>Team 7@14:30</t>
  </si>
  <si>
    <t>7. HOLIDAY VILLA HOTEL &amp; RESIDENCE DOHA</t>
  </si>
  <si>
    <r>
      <rPr>
        <b/>
        <sz val="8"/>
        <color rgb="FFFF0000"/>
        <rFont val="Arial"/>
      </rPr>
      <t xml:space="preserve">4 PMAS (3 teams
</t>
    </r>
    <r>
      <rPr>
        <b/>
        <sz val="8"/>
        <color rgb="FF000000"/>
        <rFont val="Arial"/>
      </rPr>
      <t>ECU 11:30
HAI 11:30
EGY 12:30
ARG 14:30</t>
    </r>
  </si>
  <si>
    <r>
      <rPr>
        <b/>
        <sz val="8"/>
        <color rgb="FFFF0000"/>
        <rFont val="Arial"/>
      </rPr>
      <t xml:space="preserve">4 PMAS (3 teams
</t>
    </r>
    <r>
      <rPr>
        <b/>
        <sz val="8"/>
        <color rgb="FF000000"/>
        <rFont val="Arial"/>
      </rPr>
      <t xml:space="preserve">CIV 11:30
</t>
    </r>
    <r>
      <rPr>
        <b/>
        <sz val="8"/>
        <color rgb="FF00B050"/>
        <rFont val="Arial"/>
      </rPr>
      <t xml:space="preserve">TJK 11:30
MLI 12:00
</t>
    </r>
    <r>
      <rPr>
        <b/>
        <sz val="8"/>
        <color rgb="FF000000"/>
        <rFont val="Arial"/>
      </rPr>
      <t>CHN 14:30</t>
    </r>
  </si>
  <si>
    <r>
      <rPr>
        <sz val="9"/>
        <color rgb="FFFFFFFF"/>
        <rFont val="Arial"/>
      </rPr>
      <t xml:space="preserve">3 PMAs (2 team) 
</t>
    </r>
    <r>
      <rPr>
        <sz val="9"/>
        <color rgb="FF000000"/>
        <rFont val="Arial"/>
      </rPr>
      <t>JAP 11:00
CHI 12:00
VEN 14:00</t>
    </r>
  </si>
  <si>
    <r>
      <rPr>
        <b/>
        <sz val="8"/>
        <color rgb="FFFF0000"/>
        <rFont val="Arial"/>
      </rPr>
      <t xml:space="preserve">4 PMAS (3 teams
</t>
    </r>
    <r>
      <rPr>
        <b/>
        <sz val="8"/>
        <color rgb="FF000000"/>
        <rFont val="Arial"/>
      </rPr>
      <t>ECU 11:30
EGY 13:30
ARG 14:00
HAI 14:00</t>
    </r>
  </si>
  <si>
    <r>
      <rPr>
        <b/>
        <sz val="8"/>
        <color rgb="FFFF0000"/>
        <rFont val="Arial"/>
      </rPr>
      <t xml:space="preserve">4 PMAS (3 teams)
</t>
    </r>
    <r>
      <rPr>
        <b/>
        <sz val="8"/>
        <color rgb="FF000000"/>
        <rFont val="Arial"/>
      </rPr>
      <t>TJK 11:00
CIV 13:00
CHN 13:30
MLI 14:00</t>
    </r>
  </si>
  <si>
    <r>
      <rPr>
        <sz val="8"/>
        <color rgb="FFFFFFFF"/>
        <rFont val="Arial"/>
      </rPr>
      <t xml:space="preserve">3 PMAs (2 team) 
</t>
    </r>
    <r>
      <rPr>
        <b/>
        <sz val="8"/>
        <color rgb="FF000000"/>
        <rFont val="Arial"/>
      </rPr>
      <t xml:space="preserve">VEN 11:00
JAP 11:30
</t>
    </r>
    <r>
      <rPr>
        <sz val="8"/>
        <color rgb="FF000000"/>
        <rFont val="Arial"/>
      </rPr>
      <t>CHI 13:00</t>
    </r>
  </si>
  <si>
    <r>
      <rPr>
        <b/>
        <sz val="8"/>
        <color rgb="FFFF0000"/>
        <rFont val="Arial"/>
      </rPr>
      <t xml:space="preserve">4 PMAS (3 teams
</t>
    </r>
    <r>
      <rPr>
        <b/>
        <sz val="8"/>
        <color rgb="FF000000"/>
        <rFont val="Arial"/>
      </rPr>
      <t>ECU 11:00
EGY 12:00
HAI 12:00
ARG 14:00</t>
    </r>
  </si>
  <si>
    <r>
      <rPr>
        <b/>
        <sz val="8"/>
        <color rgb="FFFF0000"/>
        <rFont val="Arial"/>
      </rPr>
      <t xml:space="preserve">4 PMAS (2 teams
</t>
    </r>
    <r>
      <rPr>
        <b/>
        <sz val="8"/>
        <color rgb="FF000000"/>
        <rFont val="Arial"/>
      </rPr>
      <t>MLI 11:30
CIV 12:30
CHN 13:30
TJK 14:30</t>
    </r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</si>
  <si>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JAP 11:30
CHI 13:30
VEN 14:30</t>
    </r>
  </si>
  <si>
    <t>Team 8, Team 9@ 11:30</t>
  </si>
  <si>
    <t>Team 8@11:30</t>
  </si>
  <si>
    <t>Team 8@11:00</t>
  </si>
  <si>
    <t>Team 8, Team 9@ 11:00</t>
  </si>
  <si>
    <t>Team 8@ 11:30</t>
  </si>
  <si>
    <t>Team 10@14:30</t>
  </si>
  <si>
    <t>Team 9 &amp; 10@14:00</t>
  </si>
  <si>
    <t>Team 10@13:30</t>
  </si>
  <si>
    <t>Team 9@ 13:00</t>
  </si>
  <si>
    <t>Team 10@14:00</t>
  </si>
  <si>
    <t>8. MILLENIUM HOTEL DOHA</t>
  </si>
  <si>
    <r>
      <rPr>
        <sz val="9"/>
        <color rgb="FFFFFFFF"/>
        <rFont val="Arial"/>
      </rPr>
      <t xml:space="preserve">3 PMAs (2 team) 
</t>
    </r>
    <r>
      <rPr>
        <sz val="9"/>
        <color rgb="FF000000"/>
        <rFont val="Arial"/>
      </rPr>
      <t>ALG 12:00
TAN 13:30
MEX 14:00</t>
    </r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</si>
  <si>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ALG 12:00
TAN 13:30
MEX 14:00</t>
    </r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</si>
  <si>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TAN 12:30
ALG 13:30
MEX 14:30</t>
    </r>
  </si>
  <si>
    <t>Team 12@12:00</t>
  </si>
  <si>
    <t>Team 12@12:30</t>
  </si>
  <si>
    <t>Team 13@14:00</t>
  </si>
  <si>
    <t>Team 13@14:30</t>
  </si>
  <si>
    <t>9. RADISSON BLU HOTEL DOHA</t>
  </si>
  <si>
    <r>
      <rPr>
        <b/>
        <sz val="8"/>
        <color rgb="FFFF0000"/>
        <rFont val="Arial"/>
      </rPr>
      <t xml:space="preserve">4 PMAs (2teams)
</t>
    </r>
    <r>
      <rPr>
        <b/>
        <u/>
        <sz val="8"/>
        <color rgb="FF00B050"/>
        <rFont val="Arial"/>
      </rPr>
      <t xml:space="preserve">KOR 12:00
GRE 12:30
</t>
    </r>
    <r>
      <rPr>
        <b/>
        <sz val="8"/>
        <color rgb="FF000000"/>
        <rFont val="Arial"/>
      </rPr>
      <t>AUS 14:30
KSA 14:30</t>
    </r>
  </si>
  <si>
    <r>
      <rPr>
        <b/>
        <sz val="8"/>
        <color rgb="FFFF0000"/>
        <rFont val="Arial"/>
      </rPr>
      <t xml:space="preserve">4 PMAs(2 teams) 
</t>
    </r>
    <r>
      <rPr>
        <b/>
        <sz val="8"/>
        <color rgb="FF000000"/>
        <rFont val="Arial"/>
      </rPr>
      <t xml:space="preserve">UZB 11:30
</t>
    </r>
    <r>
      <rPr>
        <b/>
        <sz val="8"/>
        <color rgb="FF00B050"/>
        <rFont val="Arial"/>
      </rPr>
      <t xml:space="preserve">NZL 12:00
FIJ 12:30
</t>
    </r>
    <r>
      <rPr>
        <b/>
        <sz val="8"/>
        <color rgb="FF000000"/>
        <rFont val="Arial"/>
      </rPr>
      <t>SEN 14:00</t>
    </r>
  </si>
  <si>
    <t>2 PMAs (2 teams)
COL 11:00
CRC 13:30</t>
  </si>
  <si>
    <r>
      <rPr>
        <b/>
        <u/>
        <sz val="8"/>
        <color rgb="FF000000"/>
        <rFont val="Arial"/>
      </rPr>
      <t xml:space="preserve">5 PMAS(3teams)
</t>
    </r>
    <r>
      <rPr>
        <b/>
        <sz val="8"/>
        <color rgb="FF000000"/>
        <rFont val="Arial"/>
      </rPr>
      <t>GRE 11:00
AUS 11:00
KSA 12:00
KOR 13:00
NZL 13:00</t>
    </r>
  </si>
  <si>
    <r>
      <rPr>
        <b/>
        <sz val="8"/>
        <color rgb="FFFF0000"/>
        <rFont val="Arial"/>
      </rPr>
      <t xml:space="preserve">4 PMAs(2 teams) 
</t>
    </r>
    <r>
      <rPr>
        <b/>
        <sz val="8"/>
        <color rgb="FF00B050"/>
        <rFont val="Arial"/>
      </rPr>
      <t xml:space="preserve">FIJ 11:00
UZB 11:30
</t>
    </r>
    <r>
      <rPr>
        <b/>
        <sz val="8"/>
        <color rgb="FF000000"/>
        <rFont val="Arial"/>
      </rPr>
      <t>SEN 12:00
NZL 14:00</t>
    </r>
  </si>
  <si>
    <t>2 PMAs (2 teams)
CRC 11:00
COL 14:00</t>
  </si>
  <si>
    <r>
      <rPr>
        <b/>
        <sz val="8"/>
        <color rgb="FFFF0000"/>
        <rFont val="Arial"/>
      </rPr>
      <t xml:space="preserve">4 PMAs (2team)
</t>
    </r>
    <r>
      <rPr>
        <b/>
        <sz val="8"/>
        <color rgb="FF000000"/>
        <rFont val="Arial"/>
      </rPr>
      <t>KOR 11:00
KSA 12:00
GRE 13:00
AUS 14:00</t>
    </r>
  </si>
  <si>
    <r>
      <rPr>
        <b/>
        <sz val="8"/>
        <color rgb="FFFF0000"/>
        <rFont val="Arial"/>
      </rPr>
      <t xml:space="preserve">4 PMAs (2 Teams)
</t>
    </r>
    <r>
      <rPr>
        <b/>
        <sz val="8"/>
        <color rgb="FF000000"/>
        <rFont val="Arial"/>
      </rPr>
      <t>NZL 11:30
UZB 12:30
FIJ 13:30
SEN 14:30</t>
    </r>
  </si>
  <si>
    <t>2 PMAs (2 teams)
COL 11:30
CRC 12:30</t>
  </si>
  <si>
    <t>Team 14@12:00</t>
  </si>
  <si>
    <t>Team 14@11:30</t>
  </si>
  <si>
    <t>Team 14@11:00</t>
  </si>
  <si>
    <t>Team 16@11:00</t>
  </si>
  <si>
    <t>Team 15@14:30</t>
  </si>
  <si>
    <t>Team 15@14:00</t>
  </si>
  <si>
    <t>Team 15@13:30</t>
  </si>
  <si>
    <t>10. WARWICK DOHA HOTEL</t>
  </si>
  <si>
    <r>
      <rPr>
        <sz val="9"/>
        <color rgb="FFFFFFFF"/>
        <rFont val="Arial"/>
      </rPr>
      <t xml:space="preserve">3 PMAs (2 team) 
</t>
    </r>
    <r>
      <rPr>
        <sz val="9"/>
        <color rgb="FF000000"/>
        <rFont val="Arial"/>
      </rPr>
      <t>SER 11:00
USA 13:00
ROM 14:00</t>
    </r>
  </si>
  <si>
    <r>
      <rPr>
        <sz val="8"/>
        <color rgb="FFFFFFFF"/>
        <rFont val="Arial"/>
      </rPr>
      <t xml:space="preserve">3 PMAs (2 team) 
</t>
    </r>
    <r>
      <rPr>
        <b/>
        <sz val="8"/>
        <color rgb="FF000000"/>
        <rFont val="Arial"/>
      </rPr>
      <t xml:space="preserve">ROM 11:00
SER 11:30
</t>
    </r>
    <r>
      <rPr>
        <sz val="8"/>
        <color rgb="FF000000"/>
        <rFont val="Arial"/>
      </rPr>
      <t>USA 13:00</t>
    </r>
  </si>
  <si>
    <r>
      <rPr>
        <sz val="8"/>
        <color rgb="FFFFFFFF"/>
        <rFont val="Arial"/>
      </rPr>
      <t xml:space="preserve">3 PMAs (2 team) 
</t>
    </r>
    <r>
      <rPr>
        <sz val="8"/>
        <color rgb="FF000000"/>
        <rFont val="Arial"/>
      </rPr>
      <t>SER 11:30
USA 13:30
ROM 14:30</t>
    </r>
  </si>
  <si>
    <t>Team 16@11:30</t>
  </si>
  <si>
    <t>Team 9@14:00</t>
  </si>
  <si>
    <t>team</t>
  </si>
  <si>
    <t>ASPIRE VSA TEAM</t>
  </si>
  <si>
    <t>Team 12 
Team 13</t>
  </si>
  <si>
    <t xml:space="preserve">Team 16 
Team 13
</t>
  </si>
  <si>
    <t>Team 1 
Team 2
Team 3</t>
  </si>
  <si>
    <t>Merged Shift Timing</t>
  </si>
  <si>
    <t>GWC Shift Start Time</t>
  </si>
  <si>
    <t>Kick Of Time</t>
  </si>
  <si>
    <t>GWC Shift End Time</t>
  </si>
  <si>
    <r>
      <rPr>
        <b/>
        <sz val="12"/>
        <color rgb="FFFFFFFF"/>
        <rFont val="Arial"/>
      </rPr>
      <t xml:space="preserve">FIFA U-17 WORLD CUP QATAR 2026™ | HOTEL  DUTY DETAIL SCHEDULE </t>
    </r>
    <r>
      <rPr>
        <sz val="11"/>
        <color rgb="FFFFC000"/>
        <rFont val="Arial"/>
      </rPr>
      <t>Shift Start = KO −4:30h  |  Truck departs KO −4:00h  |  Shift End = KO +2:30h</t>
    </r>
  </si>
  <si>
    <t>Job ID</t>
  </si>
  <si>
    <t>Hotel</t>
  </si>
  <si>
    <t>Date</t>
  </si>
  <si>
    <t>Stage</t>
  </si>
  <si>
    <t>Shift #</t>
  </si>
  <si>
    <t>Crew Team</t>
  </si>
  <si>
    <t>Team</t>
  </si>
  <si>
    <t>Report Time</t>
  </si>
  <si>
    <t>Kick-Off Time</t>
  </si>
  <si>
    <t>Venue</t>
  </si>
  <si>
    <t>Final Whislte</t>
  </si>
  <si>
    <t>GWC shift ends</t>
  </si>
  <si>
    <t>Status</t>
  </si>
  <si>
    <t>JOB-BESTPLAZA-19NOV-UGA</t>
  </si>
  <si>
    <t>BEST PLAZA WEST BAY HOTEL</t>
  </si>
  <si>
    <t>GS</t>
  </si>
  <si>
    <t>Crew Team 1</t>
  </si>
  <si>
    <t>Uganda</t>
  </si>
  <si>
    <t>Pitch 1</t>
  </si>
  <si>
    <t>SCHEDULED</t>
  </si>
  <si>
    <t>JOB-BESTPLAZA-19NOV-MOZ</t>
  </si>
  <si>
    <t>Crew Team 2</t>
  </si>
  <si>
    <t>Mozambique</t>
  </si>
  <si>
    <t>Pitch 3</t>
  </si>
  <si>
    <t>JOB-BESTPLAZA-19NOV-QAR</t>
  </si>
  <si>
    <t>Crew Team 3</t>
  </si>
  <si>
    <t>Qatar</t>
  </si>
  <si>
    <t>Pitch 2</t>
  </si>
  <si>
    <t>JOB-BESTPLAZA-22NOV-UGA</t>
  </si>
  <si>
    <t>JOB-BESTPLAZA-22NOV-QAR</t>
  </si>
  <si>
    <t>Sunday, November 22, 2026</t>
  </si>
  <si>
    <t>JOB-BESTPLAZA-22NOV-MOZ</t>
  </si>
  <si>
    <t>Pitch 7</t>
  </si>
  <si>
    <t>JOB-BESTPLAZA-25NOV-UGA</t>
  </si>
  <si>
    <t>R32</t>
  </si>
  <si>
    <t>Pitch 9</t>
  </si>
  <si>
    <t>JOB-BESTPLAZA-25NOV-QAR</t>
  </si>
  <si>
    <t>JOB-BESTPLAZA-25NOV-MOZ</t>
  </si>
  <si>
    <t>Pitch 8</t>
  </si>
  <si>
    <t>JOB-CROWNPLAZA-19NOV-URU</t>
  </si>
  <si>
    <t>Uruguay</t>
  </si>
  <si>
    <t>JOB-CROWNPLAZA-20NOV-CRO</t>
  </si>
  <si>
    <t>Croatia</t>
  </si>
  <si>
    <t>JOB-CROWNPLAZA-20NOV-ITA</t>
  </si>
  <si>
    <t>Italy</t>
  </si>
  <si>
    <t>JOB-CROWNPLAZA-22NOV-URU</t>
  </si>
  <si>
    <t>JOB-CROWNPLAZA-23NOV-CRO</t>
  </si>
  <si>
    <t>JOB-CROWNPLAZA-23NOV-ITA</t>
  </si>
  <si>
    <t>JOB-CROWNPLAZA-25NOV-URU</t>
  </si>
  <si>
    <t>Pitch 5</t>
  </si>
  <si>
    <t>JOB-CROWNPLAZA-26NOV-ITA</t>
  </si>
  <si>
    <t>JOB-CROWNPLAZA-26NOV-CRO</t>
  </si>
  <si>
    <t>JOB-DUSIT-20NOV-BEL</t>
  </si>
  <si>
    <t>Belgium</t>
  </si>
  <si>
    <t>JOB-DUSIT-20NOV-MOR</t>
  </si>
  <si>
    <t>Morocco</t>
  </si>
  <si>
    <t>JOB-DUSIT-21NOV-MON</t>
  </si>
  <si>
    <t>Montenegro</t>
  </si>
  <si>
    <t>JOB-DUSIT-21NOV-BRA</t>
  </si>
  <si>
    <t>Brazil</t>
  </si>
  <si>
    <t>JOB-DUSIT-21NOV-CAM</t>
  </si>
  <si>
    <t>Cameroon</t>
  </si>
  <si>
    <t>JOB-DUSIT-23NOV-MOR</t>
  </si>
  <si>
    <t>JOB-DUSIT-23NOV-BEL</t>
  </si>
  <si>
    <t>JOB-DUSIT-24NOV-MON</t>
  </si>
  <si>
    <t>JOB-DUSIT-24NOV-BRA</t>
  </si>
  <si>
    <t>JOB-DUSIT-24NOV-CAM</t>
  </si>
  <si>
    <t>JOB-DUSIT-26NOV-BEL</t>
  </si>
  <si>
    <t>Pitch 4</t>
  </si>
  <si>
    <t>JOB-DUSIT-26NOV-MOR</t>
  </si>
  <si>
    <t>JOB-DUSIT-27NOV-BRA</t>
  </si>
  <si>
    <t>JOB-DUSIT-27NOV-MON</t>
  </si>
  <si>
    <t>JOB-DUSIT-27NOV-CAM</t>
  </si>
  <si>
    <t>JOB-EZDANPALACE-19NOV-NCL</t>
  </si>
  <si>
    <t>New Caledonia</t>
  </si>
  <si>
    <t>JOB-EZDANPALACE-19NOV-PAN</t>
  </si>
  <si>
    <t>Panama</t>
  </si>
  <si>
    <t>JOB-EZDANPALACE-21NOV-HON</t>
  </si>
  <si>
    <t>Honduras</t>
  </si>
  <si>
    <t>JOB-EZDANPALACE-22NOV-PAN</t>
  </si>
  <si>
    <t>JOB-EZDANPALACE-24NOV-HON</t>
  </si>
  <si>
    <t>JOB-EZDANPALACE-25NOV-NCL</t>
  </si>
  <si>
    <t>JOB-EZDANPALACE-25NOV-PAN</t>
  </si>
  <si>
    <t>JOB-EZDANPALACE-27NOV-HON</t>
  </si>
  <si>
    <t>JOB-EZDANTOWERS-19NOV-FRA</t>
  </si>
  <si>
    <t>France</t>
  </si>
  <si>
    <t>JOB-EZDANTOWERS-19NOV-DEN</t>
  </si>
  <si>
    <t>Denmark</t>
  </si>
  <si>
    <t>JOB-EZDANTOWERS-20NOV-CUB</t>
  </si>
  <si>
    <t>Cuba</t>
  </si>
  <si>
    <t>JOB-EZDANTOWERS-20NOV-JAM</t>
  </si>
  <si>
    <t>Jamaica</t>
  </si>
  <si>
    <t>JOB-EZDANTOWERS-22NOV-DEN</t>
  </si>
  <si>
    <t>JOB-EZDANTOWERS-22NOV-FRA</t>
  </si>
  <si>
    <t>JOB-EZDANTOWERS-23NOV-JAM</t>
  </si>
  <si>
    <t>JOB-EZDANTOWERS-23NOV-CUB</t>
  </si>
  <si>
    <t>JOB-EZDANTOWERS-25NOV-FRA</t>
  </si>
  <si>
    <t>JOB-EZDANTOWERS-25NOV-DEN</t>
  </si>
  <si>
    <t>JOB-EZDANTOWERS-26NOV-JAM</t>
  </si>
  <si>
    <t>JOB-EZDANTOWERS-26NOV-CUB</t>
  </si>
  <si>
    <t>JOB-HOLIDAYINN-20NOV-VIE</t>
  </si>
  <si>
    <t>Vietnam</t>
  </si>
  <si>
    <t>JOB-HOLIDAYINN-20NOV-SPA</t>
  </si>
  <si>
    <t>Spain</t>
  </si>
  <si>
    <t>JOB-HOLIDAYINN-21NOV-REP</t>
  </si>
  <si>
    <t>Republic of Ireland</t>
  </si>
  <si>
    <t>JOB-HOLIDAYINN-23NOV-SPA</t>
  </si>
  <si>
    <t>JOB-HOLIDAYINN-23NOV-VIE</t>
  </si>
  <si>
    <t>JOB-HOLIDAYINN-24NOV-REP</t>
  </si>
  <si>
    <t>JOB-HOLIDAYINN-26NOV-VIE</t>
  </si>
  <si>
    <t>JOB-HOLIDAYINN-26NOV-SPA</t>
  </si>
  <si>
    <t>JOB-HOLIDAYINN-27NOV-REP</t>
  </si>
  <si>
    <t>JOB-HOLIDAYVILLA-19NOV-ECU</t>
  </si>
  <si>
    <t>Ecuador</t>
  </si>
  <si>
    <t>JOB-HOLIDAYVILLA-19NOV-HAI</t>
  </si>
  <si>
    <t>Haiti</t>
  </si>
  <si>
    <t>JOB-HOLIDAYVILLA-19NOV-EGY</t>
  </si>
  <si>
    <t>Egypt</t>
  </si>
  <si>
    <t>JOB-HOLIDAYVILLA-19NOV-ARG</t>
  </si>
  <si>
    <t>Crew Team 4</t>
  </si>
  <si>
    <t>Argentina</t>
  </si>
  <si>
    <t>JOB-HOLIDAYVILLA-20NOV-CIV</t>
  </si>
  <si>
    <t>Ivory Coast</t>
  </si>
  <si>
    <t>JOB-HOLIDAYVILLA-20NOV-TJK</t>
  </si>
  <si>
    <t>Tajikistan</t>
  </si>
  <si>
    <t>JOB-HOLIDAYVILLA-20NOV-MLI</t>
  </si>
  <si>
    <t>Mali</t>
  </si>
  <si>
    <t>JOB-HOLIDAYVILLA-20NOV-CHN</t>
  </si>
  <si>
    <t>China PR</t>
  </si>
  <si>
    <t xml:space="preserve">Pitch </t>
  </si>
  <si>
    <t>JOB-HOLIDAYVILLA-21NOV-JAP</t>
  </si>
  <si>
    <t>Japan</t>
  </si>
  <si>
    <t>JOB-HOLIDAYVILLA-21NOV-CHI</t>
  </si>
  <si>
    <t>Chile</t>
  </si>
  <si>
    <t>JOB-HOLIDAYVILLA-21NOV-VEN</t>
  </si>
  <si>
    <t>Venezuela</t>
  </si>
  <si>
    <t>JOB-HOLIDAYVILLA-22NOV-ECU</t>
  </si>
  <si>
    <t>JOB-HOLIDAYVILLA-22NOV-EGY</t>
  </si>
  <si>
    <t>JOB-HOLIDAYVILLA-22NOV-ARG</t>
  </si>
  <si>
    <t>JOB-HOLIDAYVILLA-22NOV-HAI</t>
  </si>
  <si>
    <t>JOB-HOLIDAYVILLA-23NOV-TJK</t>
  </si>
  <si>
    <t>JOB-HOLIDAYVILLA-23NOV-CIV</t>
  </si>
  <si>
    <t>JOB-HOLIDAYVILLA-23NOV-CHN</t>
  </si>
  <si>
    <t>JOB-HOLIDAYVILLA-23NOV-MLI</t>
  </si>
  <si>
    <t>JOB-HOLIDAYVILLA-24NOV-VEN</t>
  </si>
  <si>
    <t>JOB-HOLIDAYVILLA-24NOV-JAP</t>
  </si>
  <si>
    <t>JOB-HOLIDAYVILLA-24NOV-CHI</t>
  </si>
  <si>
    <t>JOB-HOLIDAYVILLA-25NOV-ECU</t>
  </si>
  <si>
    <t>JOB-HOLIDAYVILLA-25NOV-EGY</t>
  </si>
  <si>
    <t>JOB-HOLIDAYVILLA-25NOV-HAI</t>
  </si>
  <si>
    <t>JOB-HOLIDAYVILLA-25NOV-ARG</t>
  </si>
  <si>
    <t>JOB-HOLIDAYVILLA-26NOV-MLI</t>
  </si>
  <si>
    <t>JOB-HOLIDAYVILLA-26NOV-CIV</t>
  </si>
  <si>
    <t>JOB-HOLIDAYVILLA-26NOV-CHN</t>
  </si>
  <si>
    <t>JOB-HOLIDAYVILLA-26NOV-TJK</t>
  </si>
  <si>
    <t>JOB-HOLIDAYVILLA-27NOV-JAP</t>
  </si>
  <si>
    <t>JOB-HOLIDAYVILLA-27NOV-CHI</t>
  </si>
  <si>
    <t>JOB-HOLIDAYVILLA-27NOV-VEN</t>
  </si>
  <si>
    <t>JOB-MILLENIUM-21NOV-ALG</t>
  </si>
  <si>
    <t>Algeria</t>
  </si>
  <si>
    <t>JOB-MILLENIUM-21NOV-TAN</t>
  </si>
  <si>
    <t>Tanzania</t>
  </si>
  <si>
    <t>JOB-MILLENIUM-21NOV-MEX</t>
  </si>
  <si>
    <t>Mexico</t>
  </si>
  <si>
    <t>JOB-MILLENIUM-24NOV-ALG</t>
  </si>
  <si>
    <t>JOB-MILLENIUM-24NOV-TAN</t>
  </si>
  <si>
    <t>JOB-MILLENIUM-24NOV-MEX</t>
  </si>
  <si>
    <t>JOB-MILLENIUM-27NOV-TAN</t>
  </si>
  <si>
    <t>JOB-MILLENIUM-27NOV-ALG</t>
  </si>
  <si>
    <t>JOB-MILLENIUM-27NOV-MEX</t>
  </si>
  <si>
    <t>JOB-RADISSON-19NOV-KOR</t>
  </si>
  <si>
    <t>Korea Republic</t>
  </si>
  <si>
    <t>JOB-RADISSON-19NOV-GRE</t>
  </si>
  <si>
    <t>Greece</t>
  </si>
  <si>
    <t>JOB-RADISSON-19NOV-AUS</t>
  </si>
  <si>
    <t>Australia</t>
  </si>
  <si>
    <t>JOB-RADISSON-19NOV-KSA</t>
  </si>
  <si>
    <t>Saudi Arabia</t>
  </si>
  <si>
    <t>JOB-RADISSON-20NOV-UZB</t>
  </si>
  <si>
    <t>Uzbekistan</t>
  </si>
  <si>
    <t>JOB-RADISSON-20NOV-NZL</t>
  </si>
  <si>
    <t>New Zealand</t>
  </si>
  <si>
    <t>JOB-RADISSON-20NOV-FIJ</t>
  </si>
  <si>
    <t>Fiji</t>
  </si>
  <si>
    <t>JOB-RADISSON-20NOV-SEN</t>
  </si>
  <si>
    <t>Senegal</t>
  </si>
  <si>
    <t>JOB-RADISSON-21NOV-COL</t>
  </si>
  <si>
    <t>Colombia</t>
  </si>
  <si>
    <t>JOB-RADISSON-21NOV-COS</t>
  </si>
  <si>
    <t>Costa Rica</t>
  </si>
  <si>
    <t>JOB-RADISSON-22NOV-GRE</t>
  </si>
  <si>
    <t>JOB-RADISSON-22NOV-AUS</t>
  </si>
  <si>
    <t>JOB-RADISSON-22NOV-KSA</t>
  </si>
  <si>
    <t>JOB-RADISSON-22NOV-KOR</t>
  </si>
  <si>
    <t>JOB-RADISSON-22NOV-NZL</t>
  </si>
  <si>
    <t>Crew Team 5</t>
  </si>
  <si>
    <t>JOB-RADISSON-23NOV-FIJ</t>
  </si>
  <si>
    <t>JOB-RADISSON-23NOV-UZB</t>
  </si>
  <si>
    <t>JOB-RADISSON-23NOV-SEN</t>
  </si>
  <si>
    <t>JOB-RADISSON-23NOV-NZL</t>
  </si>
  <si>
    <t>JOB-RADISSON-24NOV-COS</t>
  </si>
  <si>
    <t>JOB-RADISSON-24NOV-COL</t>
  </si>
  <si>
    <t>JOB-RADISSON-25NOV-KOR</t>
  </si>
  <si>
    <t>JOB-RADISSON-25NOV-KSA</t>
  </si>
  <si>
    <t>JOB-RADISSON-25NOV-GRE</t>
  </si>
  <si>
    <t>JOB-RADISSON-25NOV-AUS</t>
  </si>
  <si>
    <t>JOB-RADISSON-26NOV-NZL</t>
  </si>
  <si>
    <t>JOB-RADISSON-26NOV-UZB</t>
  </si>
  <si>
    <t>JOB-RADISSON-26NOV-FIJ</t>
  </si>
  <si>
    <t>JOB-RADISSON-26NOV-SEN</t>
  </si>
  <si>
    <t>JOB-RADISSON-27NOV-COL</t>
  </si>
  <si>
    <t>JOB-RADISSON-27NOV-COS</t>
  </si>
  <si>
    <t>JOB-WARWICK-21NOV-SER</t>
  </si>
  <si>
    <t>Serbia</t>
  </si>
  <si>
    <t>JOB-WARWICK-21NOV-USA</t>
  </si>
  <si>
    <t>USA</t>
  </si>
  <si>
    <t>JOB-WARWICK-21NOV-ROM</t>
  </si>
  <si>
    <t>Romania</t>
  </si>
  <si>
    <t>JOB-WARWICK-24NOV-ROM</t>
  </si>
  <si>
    <t>JOB-WARWICK-24NOV-SER</t>
  </si>
  <si>
    <t>JOB-WARWICK-24NOV-USA</t>
  </si>
  <si>
    <t>JOB-WARWICK-27NOV-SER</t>
  </si>
  <si>
    <t>JOB-WARWICK-27NOV-USA</t>
  </si>
  <si>
    <t>JOB-WARWICK-27NOV-ROM</t>
  </si>
  <si>
    <t xml:space="preserve">  FIFA U-17 WORLD CUP QATAR 2026™  |  OFFICIAL MATCH SCHEDULE  |  Group Stage &amp; Round of 32</t>
  </si>
  <si>
    <t>All kick-off times local Doha (AST/UTC+3) | Subject to change | Source: FIFA Match Schedule v3 26-May-2026</t>
  </si>
  <si>
    <t>Match #</t>
  </si>
  <si>
    <t>Group</t>
  </si>
  <si>
    <t>Home</t>
  </si>
  <si>
    <t>vs</t>
  </si>
  <si>
    <t>Away</t>
  </si>
  <si>
    <t>KO Time</t>
  </si>
  <si>
    <t xml:space="preserve">Final Whistle </t>
  </si>
  <si>
    <t>A</t>
  </si>
  <si>
    <t>QAT</t>
  </si>
  <si>
    <t>PAN</t>
  </si>
  <si>
    <t>Aspire P2</t>
  </si>
  <si>
    <t>18:30</t>
  </si>
  <si>
    <t>Group Stage</t>
  </si>
  <si>
    <t>EGY</t>
  </si>
  <si>
    <t>GRE</t>
  </si>
  <si>
    <t>Aspire P1</t>
  </si>
  <si>
    <t>17:00</t>
  </si>
  <si>
    <t>B</t>
  </si>
  <si>
    <t>KOR</t>
  </si>
  <si>
    <t>UGA</t>
  </si>
  <si>
    <t>Aspire P3</t>
  </si>
  <si>
    <t>16:30</t>
  </si>
  <si>
    <t>NCL</t>
  </si>
  <si>
    <t>ECU</t>
  </si>
  <si>
    <t>Aspire P4</t>
  </si>
  <si>
    <t>16:00</t>
  </si>
  <si>
    <t>C</t>
  </si>
  <si>
    <t>ARG</t>
  </si>
  <si>
    <t>AUS</t>
  </si>
  <si>
    <t>Aspire P5</t>
  </si>
  <si>
    <t>19:00</t>
  </si>
  <si>
    <t>MOZ</t>
  </si>
  <si>
    <t>DEN</t>
  </si>
  <si>
    <t>18:00</t>
  </si>
  <si>
    <t>D</t>
  </si>
  <si>
    <t>FRA</t>
  </si>
  <si>
    <t>HAI</t>
  </si>
  <si>
    <t>Aspire P7</t>
  </si>
  <si>
    <t>KSA</t>
  </si>
  <si>
    <t>URU</t>
  </si>
  <si>
    <t>Khalifa Int'l</t>
  </si>
  <si>
    <t>E</t>
  </si>
  <si>
    <t>ITA</t>
  </si>
  <si>
    <t>JAM</t>
  </si>
  <si>
    <t>CIV</t>
  </si>
  <si>
    <t>UZB</t>
  </si>
  <si>
    <t>F</t>
  </si>
  <si>
    <t>SEN</t>
  </si>
  <si>
    <t>CRO</t>
  </si>
  <si>
    <t>CUB</t>
  </si>
  <si>
    <t>TJK</t>
  </si>
  <si>
    <t>G</t>
  </si>
  <si>
    <t>MLI</t>
  </si>
  <si>
    <t>NZL</t>
  </si>
  <si>
    <t>BEL</t>
  </si>
  <si>
    <t>VIE</t>
  </si>
  <si>
    <t>H</t>
  </si>
  <si>
    <t>ESP</t>
  </si>
  <si>
    <t>CHN</t>
  </si>
  <si>
    <t>FIJ</t>
  </si>
  <si>
    <t>MAR</t>
  </si>
  <si>
    <t>Aspire P8</t>
  </si>
  <si>
    <t>I</t>
  </si>
  <si>
    <t>BRA</t>
  </si>
  <si>
    <t>IRL</t>
  </si>
  <si>
    <t>TAN</t>
  </si>
  <si>
    <t>CRC</t>
  </si>
  <si>
    <t>Aspire P9</t>
  </si>
  <si>
    <t>J</t>
  </si>
  <si>
    <t>MNE</t>
  </si>
  <si>
    <t>17:30</t>
  </si>
  <si>
    <t>CHI</t>
  </si>
  <si>
    <t>ALG</t>
  </si>
  <si>
    <t>K</t>
  </si>
  <si>
    <t>MEX</t>
  </si>
  <si>
    <t>ROU</t>
  </si>
  <si>
    <t>CMR</t>
  </si>
  <si>
    <t>VEN</t>
  </si>
  <si>
    <t>L</t>
  </si>
  <si>
    <t>JPN</t>
  </si>
  <si>
    <t>COL</t>
  </si>
  <si>
    <t>15:30</t>
  </si>
  <si>
    <t>SRB</t>
  </si>
  <si>
    <t>HON</t>
  </si>
  <si>
    <t>Round of 32</t>
  </si>
  <si>
    <t xml:space="preserve">  FIFA U-17 WORLD CUP QATAR 2026™  |  OFFICIAL TEAM BASE CAMP HOTELS (TBHC)  &amp;  HOTEL ROSTER</t>
  </si>
  <si>
    <t>Supervisors and crew assigned to each hotel are responsible for ALL resident teams throughout the tournament</t>
  </si>
  <si>
    <t>Hotel (Official TBHC)</t>
  </si>
  <si>
    <t>Supervisor</t>
  </si>
  <si>
    <t>Teams Resident</t>
  </si>
  <si>
    <t># Teams</t>
  </si>
  <si>
    <t>Active Match Days</t>
  </si>
  <si>
    <t>Peak Crew/Duty</t>
  </si>
  <si>
    <t>Total Duties</t>
  </si>
  <si>
    <t>Spvr 1</t>
  </si>
  <si>
    <t>Mozambique, Qatar, Uganda</t>
  </si>
  <si>
    <t>19-Nov / 22-Nov / 25-Nov</t>
  </si>
  <si>
    <t>Spvr 2</t>
  </si>
  <si>
    <t>Croatia, Italy, Uruguay</t>
  </si>
  <si>
    <t>19–27 Nov (6 days)</t>
  </si>
  <si>
    <t>Spvr 3</t>
  </si>
  <si>
    <t>Belgium, Brazil, Cameroon, Montenegro, Morocco</t>
  </si>
  <si>
    <t>Spvr 4</t>
  </si>
  <si>
    <t>Honduras, New Caledonia, Panama</t>
  </si>
  <si>
    <t>Spvr 5</t>
  </si>
  <si>
    <t>Cuba, Denmark, France, Jamaica</t>
  </si>
  <si>
    <t>Spvr 6</t>
  </si>
  <si>
    <t>Rep. of Ireland, Spain, Vietnam</t>
  </si>
  <si>
    <t>Spvr 7</t>
  </si>
  <si>
    <t>Argentina, Chile, China PR, Ecuador, Egypt, Haiti, Ivory Coast, Japan, Mali, Tajikistan, Venezuela</t>
  </si>
  <si>
    <t>ALL 9 match days</t>
  </si>
  <si>
    <t>Spvr 8</t>
  </si>
  <si>
    <t>Algeria, Mexico, Tanzania</t>
  </si>
  <si>
    <t>21-Nov / 24-Nov / 27-Nov</t>
  </si>
  <si>
    <t>Spvr 9</t>
  </si>
  <si>
    <t>Australia, Colombia, Costa Rica, Fiji, Greece, Korea Republic, New Zealand, Saudi Arabia, Senegal, Uzbekistan</t>
  </si>
  <si>
    <t>Spvr 10</t>
  </si>
  <si>
    <t>Romania, Serbia, USA</t>
  </si>
  <si>
    <t>TOURNAMENT TOTAL</t>
  </si>
  <si>
    <t>48 Participating Nations across 10 Official TBHCs</t>
  </si>
  <si>
    <t>⚙️  RESOURCE OPTIMIZATION ANALYSIS  |  Supervisor &amp; Crew Deployment Efficiency</t>
  </si>
  <si>
    <t xml:space="preserve">  ◆  SUPERVISOR WORKLOAD ANALYSIS</t>
  </si>
  <si>
    <t>Match Days Active</t>
  </si>
  <si>
    <t>Total Crew-Shifts</t>
  </si>
  <si>
    <t>Avg Crew/Duty</t>
  </si>
  <si>
    <t>Peak Crew Day</t>
  </si>
  <si>
    <t>Optimization Flag</t>
  </si>
  <si>
    <t>Recommendation</t>
  </si>
  <si>
    <t>RSP Spvr 1</t>
  </si>
  <si>
    <t>Best Plaza WB</t>
  </si>
  <si>
    <t>3 crew</t>
  </si>
  <si>
    <t>LIGHT</t>
  </si>
  <si>
    <t>3-day rotation. Consider assigning Spvr 1 as float/relief for nearby hotels on off days.</t>
  </si>
  <si>
    <t>RSP Spvr 2</t>
  </si>
  <si>
    <t>Crown Plaza BP</t>
  </si>
  <si>
    <t>MODERATE</t>
  </si>
  <si>
    <t>Covers 3 teams across 6 days; well balanced. Monitor Uruguay single-team duties for crew reduction.</t>
  </si>
  <si>
    <t>RSP Spvr 3</t>
  </si>
  <si>
    <t>Dusit D2 Salwa</t>
  </si>
  <si>
    <t>4 crew</t>
  </si>
  <si>
    <t>HIGH</t>
  </si>
  <si>
    <t>21-Nov peak: 3 teams concurrent (MON/BRA/CMR). Pre-position extra crew evening 20-Nov.</t>
  </si>
  <si>
    <t>RSP Spvr 4</t>
  </si>
  <si>
    <t>Ezdan Palace</t>
  </si>
  <si>
    <t>Mix of 1–2 team duties. Single-team Honduras duties could use min 2 crew; no change needed.</t>
  </si>
  <si>
    <t>RSP Spvr 5</t>
  </si>
  <si>
    <t>Ezdan Towers</t>
  </si>
  <si>
    <t>France/Denmark concurrent on 22-Nov; Cuba/Jamaica concurrent 23-Nov. Staggered OK.</t>
  </si>
  <si>
    <t>RSP Spvr 6</t>
  </si>
  <si>
    <t>Holiday Inn BP</t>
  </si>
  <si>
    <t>2 crew</t>
  </si>
  <si>
    <t>Max 2 teams; consistently 2-crew duties. Consider cross-deploying spare crew to HVHRD peak days.</t>
  </si>
  <si>
    <t>RSP Spvr 7</t>
  </si>
  <si>
    <t>Holiday Villa HR</t>
  </si>
  <si>
    <t>⚠️ CRITICAL</t>
  </si>
  <si>
    <t>HIGHEST LOAD: 11 teams / 9 consecutive match days. 4-peak crew on 5 separate days. PRIORITY: Ensure dedicated standby crew pool. Consider sub-supervisor for the 4-team days.</t>
  </si>
  <si>
    <t>RSP Spvr 8</t>
  </si>
  <si>
    <t>Millenium</t>
  </si>
  <si>
    <t>Only 3 active days (Sat/Tue/Fri). Cross-deploy Spvr 8 as relief support on 19-Nov, 20-Nov, 22-Nov, 23-Nov, 25-Nov, 26-Nov.</t>
  </si>
  <si>
    <t>RSP Spvr 9</t>
  </si>
  <si>
    <t>Radisson Blu</t>
  </si>
  <si>
    <t>2nd HIGHEST LOAD: 10 teams / 9 consecutive match days. 4-peak crew on 3 days. 22-Nov has 5-team duty. Standby crew essential.</t>
  </si>
  <si>
    <t>RSP Spvr 10</t>
  </si>
  <si>
    <t>Warwick Doha</t>
  </si>
  <si>
    <t>Only 3 active days. Cross-deploy Spvr 10 crew to support Radisson Blu on 19-Nov, 20-Nov, 22-Nov.</t>
  </si>
  <si>
    <t xml:space="preserve">  ◆  KEY OPTIMIZATION RECOMMENDATIONS</t>
  </si>
  <si>
    <t>🔴 1</t>
  </si>
  <si>
    <t>Spvr 7 (Holiday Villa) &amp; Spvr 9 (Radisson Blu) are the two critical nodes — each active all 9 match days with up to 11 and 10 teams respectively. Consider assigning a permanent standby crew of 1–2 at each for immediate surge cover.</t>
  </si>
  <si>
    <t>🟠 2</t>
  </si>
  <si>
    <t>Spvrs 1, 8, and 10 are only active 3 days each. On their off-days, their crews should be pre-positioned as a mobile reserve pool, particularly to reinforce Spvr 7 and Spvr 9 on peak days (21-Nov, 22-Nov, 23-Nov).</t>
  </si>
  <si>
    <t>🟡 3</t>
  </si>
  <si>
    <t>Spvr 6 (Holiday Inn BP) consistently operates at only 2-crew capacity. On 19-Nov and 22-Nov when Holiday Inn has no duties, Spvr 6's crew can reinforce Holiday Villa next door.</t>
  </si>
  <si>
    <t>🟢 4</t>
  </si>
  <si>
    <t>Crew assignment should be staggered across loading waves. When a hotel has 3+ teams departing, sequential loading reduces peak concurrent crew needs — maintain 2-crew base + 1 swing crew per concurrent wave.</t>
  </si>
  <si>
    <t>🔵 5</t>
  </si>
  <si>
    <t>19-Nov opening day has 6 hotels simultaneously active. Conduct full all-supervisors briefing before 10:00 on 19-Nov. Confirm crew transport, radio comms, and kit inventory sign-off by 11:00.</t>
  </si>
  <si>
    <t>⚙️ 6</t>
  </si>
  <si>
    <t>Review Millenium (Spvr 8) schedule — same three teams on same days as multiple other hotels. Align crew shift start times to avoid transport conflicts on shared departure days (21-Nov, 24-Nov, 27-Nov).</t>
  </si>
  <si>
    <t>🏆  FIFA U-17 WORLD CUP QATAR 2026™  |  HOTEL LOADING DUTY DETAIL SCHEDULE</t>
  </si>
  <si>
    <t>Supervisors are HOTEL-BASED throughout entire shift  |  Shift Start = KO −4:30h  |  Truck departs KO −4:00h  |  Shift End = KO +2:30h</t>
  </si>
  <si>
    <t>Duty ID</t>
  </si>
  <si>
    <t>Day</t>
  </si>
  <si>
    <t>Teams on Duty</t>
  </si>
  <si>
    <t>Crew Count</t>
  </si>
  <si>
    <t>Shift Start</t>
  </si>
  <si>
    <t>Shift End</t>
  </si>
  <si>
    <t>Matches</t>
  </si>
  <si>
    <t>Operational Note</t>
  </si>
  <si>
    <t>D-001</t>
  </si>
  <si>
    <t>19-Nov</t>
  </si>
  <si>
    <t>Thu</t>
  </si>
  <si>
    <t>Uganda / Mozambique / Qatar</t>
  </si>
  <si>
    <t>12:30</t>
  </si>
  <si>
    <t>22:00</t>
  </si>
  <si>
    <t>M3, M6, M1</t>
  </si>
  <si>
    <t>3 teams, max 2 concurrent loading</t>
  </si>
  <si>
    <t>D-002</t>
  </si>
  <si>
    <t>22-Nov</t>
  </si>
  <si>
    <t>Sun</t>
  </si>
  <si>
    <t>Uganda / Qatar / Mozambique</t>
  </si>
  <si>
    <t>12:00</t>
  </si>
  <si>
    <t>M28, M25, M29</t>
  </si>
  <si>
    <t>D-003</t>
  </si>
  <si>
    <t>25-Nov</t>
  </si>
  <si>
    <t>Wed</t>
  </si>
  <si>
    <t>11:30</t>
  </si>
  <si>
    <t>M52, M49, M54</t>
  </si>
  <si>
    <t>D-005</t>
  </si>
  <si>
    <t>15:00</t>
  </si>
  <si>
    <t>22:30</t>
  </si>
  <si>
    <t>M8</t>
  </si>
  <si>
    <t>1 team</t>
  </si>
  <si>
    <t>D-005b</t>
  </si>
  <si>
    <t>20-Nov</t>
  </si>
  <si>
    <t>Fri</t>
  </si>
  <si>
    <t>Croatia / Italy</t>
  </si>
  <si>
    <t>14:30</t>
  </si>
  <si>
    <t>M11, M9</t>
  </si>
  <si>
    <t>2 teams, max 2 concurrent</t>
  </si>
  <si>
    <t>D-006</t>
  </si>
  <si>
    <t>M32</t>
  </si>
  <si>
    <t>D-007</t>
  </si>
  <si>
    <t>23-Nov</t>
  </si>
  <si>
    <t>Mon</t>
  </si>
  <si>
    <t>21:00</t>
  </si>
  <si>
    <t>M36, M33</t>
  </si>
  <si>
    <t>2 teams sequential</t>
  </si>
  <si>
    <t>D-008</t>
  </si>
  <si>
    <t>20:00</t>
  </si>
  <si>
    <t>M55</t>
  </si>
  <si>
    <t>D-009</t>
  </si>
  <si>
    <t>26-Nov</t>
  </si>
  <si>
    <t>Italy / Croatia</t>
  </si>
  <si>
    <t>13:00</t>
  </si>
  <si>
    <t>M57, M60</t>
  </si>
  <si>
    <t>D-011</t>
  </si>
  <si>
    <t>Belgium / Morocco</t>
  </si>
  <si>
    <t>20:30</t>
  </si>
  <si>
    <t>M14, M16</t>
  </si>
  <si>
    <t>2 teams concurrent</t>
  </si>
  <si>
    <t>D-011b</t>
  </si>
  <si>
    <t>21-Nov</t>
  </si>
  <si>
    <t>Sat</t>
  </si>
  <si>
    <t>Montenegro / Brazil / Cameroon</t>
  </si>
  <si>
    <t>13:30</t>
  </si>
  <si>
    <t>M19, M17, M22</t>
  </si>
  <si>
    <t>3 teams, max 3 concurrent – PEAK DAY</t>
  </si>
  <si>
    <t>D-012</t>
  </si>
  <si>
    <t>Morocco / Belgium</t>
  </si>
  <si>
    <t>14:00</t>
  </si>
  <si>
    <t>M40, M37</t>
  </si>
  <si>
    <t>D-013</t>
  </si>
  <si>
    <t>24-Nov</t>
  </si>
  <si>
    <t>Tue</t>
  </si>
  <si>
    <t>M44, M41, M45</t>
  </si>
  <si>
    <t>3 teams, max 2 concurrent</t>
  </si>
  <si>
    <t>D-014</t>
  </si>
  <si>
    <t>21:30</t>
  </si>
  <si>
    <t>M62, M63</t>
  </si>
  <si>
    <t>D-015</t>
  </si>
  <si>
    <t>27-Nov</t>
  </si>
  <si>
    <t>Brazil / Montenegro / Cameroon</t>
  </si>
  <si>
    <t>M65, M68, M70</t>
  </si>
  <si>
    <t>3 teams sequential</t>
  </si>
  <si>
    <t>D-017</t>
  </si>
  <si>
    <t>New Caledonia / Panama</t>
  </si>
  <si>
    <t>M4, M1</t>
  </si>
  <si>
    <t>2 teams</t>
  </si>
  <si>
    <t>D-017b</t>
  </si>
  <si>
    <t>M24</t>
  </si>
  <si>
    <t>D-018</t>
  </si>
  <si>
    <t>M26</t>
  </si>
  <si>
    <t>D-019</t>
  </si>
  <si>
    <t>M48</t>
  </si>
  <si>
    <t>D-020</t>
  </si>
  <si>
    <t>M52, M50</t>
  </si>
  <si>
    <t>D-021</t>
  </si>
  <si>
    <t>19:30</t>
  </si>
  <si>
    <t>M71</t>
  </si>
  <si>
    <t>D-023</t>
  </si>
  <si>
    <t>France / Denmark</t>
  </si>
  <si>
    <t>M7, M6</t>
  </si>
  <si>
    <t>D-023b</t>
  </si>
  <si>
    <t>Cuba / Jamaica</t>
  </si>
  <si>
    <t>M12, M9</t>
  </si>
  <si>
    <t>D-024</t>
  </si>
  <si>
    <t>Denmark / France</t>
  </si>
  <si>
    <t>M30, M31</t>
  </si>
  <si>
    <t>D-025</t>
  </si>
  <si>
    <t>Jamaica / Cuba</t>
  </si>
  <si>
    <t>M34, M35</t>
  </si>
  <si>
    <t>D-026</t>
  </si>
  <si>
    <t>M55, M53</t>
  </si>
  <si>
    <t>D-027</t>
  </si>
  <si>
    <t>M58, M60</t>
  </si>
  <si>
    <t>D-029</t>
  </si>
  <si>
    <t>Vietnam / Spain</t>
  </si>
  <si>
    <t>M14, M15</t>
  </si>
  <si>
    <t>D-029b</t>
  </si>
  <si>
    <t>Rep. of Ireland</t>
  </si>
  <si>
    <t>M17</t>
  </si>
  <si>
    <t>D-030</t>
  </si>
  <si>
    <t>Spain / Vietnam</t>
  </si>
  <si>
    <t>M39, M38</t>
  </si>
  <si>
    <t>D-031</t>
  </si>
  <si>
    <t>M42</t>
  </si>
  <si>
    <t>D-032</t>
  </si>
  <si>
    <t>M61, M63</t>
  </si>
  <si>
    <t>D-033</t>
  </si>
  <si>
    <t>M66</t>
  </si>
  <si>
    <t>D-035</t>
  </si>
  <si>
    <t>Ecuador / Haiti / Egypt / Argentina</t>
  </si>
  <si>
    <t>M4,M7,M2,M5</t>
  </si>
  <si>
    <t>4 teams – PEAK</t>
  </si>
  <si>
    <t>D-035b</t>
  </si>
  <si>
    <t>Ivory Coast / Tajikistan / Mali / China PR</t>
  </si>
  <si>
    <t>M10,M12,M13,M15</t>
  </si>
  <si>
    <t>D-036</t>
  </si>
  <si>
    <t>Japan / Chile / Venezuela</t>
  </si>
  <si>
    <t>M23,M20,M22</t>
  </si>
  <si>
    <t>3 teams</t>
  </si>
  <si>
    <t>D-037</t>
  </si>
  <si>
    <t>Ecuador / Egypt / Argentina / Haiti</t>
  </si>
  <si>
    <t>M28,M25,M29,M32</t>
  </si>
  <si>
    <t>D-038</t>
  </si>
  <si>
    <t>Tajikistan / Ivory Coast / China PR / Mali</t>
  </si>
  <si>
    <t>M36,M33,M40,M37</t>
  </si>
  <si>
    <t>D-039</t>
  </si>
  <si>
    <t>Venezuela / Japan / Chile</t>
  </si>
  <si>
    <t>M46,M47,M43</t>
  </si>
  <si>
    <t>D-040</t>
  </si>
  <si>
    <t>Ecuador / Egypt / Haiti / Argentina</t>
  </si>
  <si>
    <t>M51,M50,M56,M53</t>
  </si>
  <si>
    <t>D-041</t>
  </si>
  <si>
    <t>Mali / Ivory Coast / China PR / Tajikistan</t>
  </si>
  <si>
    <t>M61,M58,M64,M59</t>
  </si>
  <si>
    <t>4 teams</t>
  </si>
  <si>
    <t>D-042</t>
  </si>
  <si>
    <t>M71,M68,M69</t>
  </si>
  <si>
    <t>D-044</t>
  </si>
  <si>
    <t>Algeria / Tanzania / Mexico</t>
  </si>
  <si>
    <t>M20,M18,M21</t>
  </si>
  <si>
    <t>D-044b</t>
  </si>
  <si>
    <t>M44,M41,M45</t>
  </si>
  <si>
    <t>D-045</t>
  </si>
  <si>
    <t>Tanzania / Algeria / Mexico</t>
  </si>
  <si>
    <t>M66,M67,M69</t>
  </si>
  <si>
    <t>D-047</t>
  </si>
  <si>
    <t>Korea Rep / Greece / Australia / Saudi Arabia</t>
  </si>
  <si>
    <t>M3,M2,M5,M8</t>
  </si>
  <si>
    <t>D-047b</t>
  </si>
  <si>
    <t>Uzbekistan / New Zealand / Fiji / Senegal</t>
  </si>
  <si>
    <t>M10,M13,M16,M11</t>
  </si>
  <si>
    <t>D-048</t>
  </si>
  <si>
    <t>Colombia / Costa Rica</t>
  </si>
  <si>
    <t>M23,M18</t>
  </si>
  <si>
    <t>D-049</t>
  </si>
  <si>
    <t>Greece / Aus / Saudi Arabia / Korea Rep / NZL</t>
  </si>
  <si>
    <t>M26,M30,M31,M27</t>
  </si>
  <si>
    <t>5 teams – PEAK</t>
  </si>
  <si>
    <t>D-050</t>
  </si>
  <si>
    <t>Fiji / Uzbekistan / Senegal / New Zealand</t>
  </si>
  <si>
    <t>M39,M34,M35,M38</t>
  </si>
  <si>
    <t>D-051</t>
  </si>
  <si>
    <t>Costa Rica / Colombia</t>
  </si>
  <si>
    <t>M42,M48</t>
  </si>
  <si>
    <t>D-052</t>
  </si>
  <si>
    <t>Korea Rep / Saudi Arabia / Greece / Australia</t>
  </si>
  <si>
    <t>M51,M56,M49,M54</t>
  </si>
  <si>
    <t>D-053</t>
  </si>
  <si>
    <t>New Zealand / Uzbekistan / Fiji / Senegal</t>
  </si>
  <si>
    <t>M62,M57,M64,M59</t>
  </si>
  <si>
    <t>D-054</t>
  </si>
  <si>
    <t>M72,M65</t>
  </si>
  <si>
    <t>D-056</t>
  </si>
  <si>
    <t>Romania / Serbia / USA</t>
  </si>
  <si>
    <t>M24,M19,M21</t>
  </si>
  <si>
    <t>D-056b</t>
  </si>
  <si>
    <t>D-057</t>
  </si>
  <si>
    <t>Serbia / USA / Romania</t>
  </si>
  <si>
    <t>M72,M67,M70</t>
  </si>
  <si>
    <t>KIT VAN ALLOCATON- RESOURCE PLANNING AS PER KO TIME ( - 4h30)</t>
  </si>
  <si>
    <r>
      <rPr>
        <sz val="10"/>
        <color rgb="FF000000"/>
        <rFont val="Calibri"/>
        <scheme val="minor"/>
      </rPr>
      <t xml:space="preserve">GWC arrives at TBCH </t>
    </r>
    <r>
      <rPr>
        <b/>
        <sz val="10"/>
        <color rgb="FFFF0000"/>
        <rFont val="Calibri"/>
        <scheme val="minor"/>
      </rPr>
      <t>(KO-4h30)</t>
    </r>
  </si>
  <si>
    <t>Kit Manager/Advance team &amp; GWC leave for ASZ</t>
  </si>
  <si>
    <t>Team arrives at ASZ</t>
  </si>
  <si>
    <t>Kick-Off 15:30</t>
  </si>
  <si>
    <t>MATCH</t>
  </si>
  <si>
    <t>Final Wistle</t>
  </si>
  <si>
    <t>Depart ASZ</t>
  </si>
  <si>
    <t>Start Offload at TBCH</t>
  </si>
  <si>
    <t>GWC Duty finishes</t>
  </si>
  <si>
    <t>Kick-Off 16:00</t>
  </si>
  <si>
    <t>Kick-Off 16:30</t>
  </si>
  <si>
    <t>Kick-Off 17:00</t>
  </si>
  <si>
    <t>Kick-Off 17:30</t>
  </si>
  <si>
    <t>Finish Offload at TBCH</t>
  </si>
  <si>
    <t>Kick-Off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</si>
</sst>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,\ dd\-mmm"/>
    <numFmt numFmtId="165" formatCode="[$-F800]dddd\,\ mmmm\ dd\,\ yyyy"/>
    <numFmt numFmtId="166" formatCode="h:mm;@"/>
  </numFmts>
  <fonts count="76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12"/>
      <color rgb="FFFFFFFF"/>
      <name val="Arial"/>
      <family val="2"/>
    </font>
    <font>
      <i/>
      <sz val="8.5"/>
      <color rgb="FFC8A84B"/>
      <name val="Arial"/>
      <family val="2"/>
    </font>
    <font>
      <b/>
      <sz val="8.5"/>
      <color rgb="FFFFFFFF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8"/>
      <name val="Arial"/>
      <family val="2"/>
    </font>
    <font>
      <b/>
      <sz val="8.5"/>
      <color rgb="FFC8A84B"/>
      <name val="Arial"/>
      <family val="2"/>
    </font>
    <font>
      <i/>
      <sz val="8"/>
      <color rgb="FF888888"/>
      <name val="Arial"/>
      <family val="2"/>
    </font>
    <font>
      <b/>
      <sz val="9"/>
      <color rgb="FFC8A84B"/>
      <name val="Arial"/>
      <family val="2"/>
    </font>
    <font>
      <b/>
      <sz val="11"/>
      <color rgb="FF001F5B"/>
      <name val="Arial"/>
      <family val="2"/>
    </font>
    <font>
      <b/>
      <sz val="10"/>
      <name val="Arial"/>
      <family val="2"/>
    </font>
    <font>
      <b/>
      <sz val="10"/>
      <color rgb="FF001F5B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sz val="8"/>
      <name val="Arial"/>
      <family val="2"/>
    </font>
    <font>
      <i/>
      <sz val="10"/>
      <color rgb="FFC00000"/>
      <name val="Arial"/>
      <family val="2"/>
    </font>
    <font>
      <sz val="9"/>
      <name val="Arial"/>
      <family val="2"/>
    </font>
    <font>
      <sz val="9"/>
      <color theme="1"/>
      <name val="Calibri"/>
      <family val="2"/>
      <charset val="1"/>
    </font>
    <font>
      <b/>
      <sz val="12"/>
      <color rgb="FFFF0000"/>
      <name val="Calibri"/>
      <family val="2"/>
    </font>
    <font>
      <sz val="12"/>
      <color rgb="FFFFFFFF"/>
      <name val="Arial"/>
      <family val="2"/>
    </font>
    <font>
      <b/>
      <sz val="10"/>
      <color theme="0"/>
      <name val="Arial"/>
      <family val="2"/>
    </font>
    <font>
      <sz val="48"/>
      <color rgb="FF762828"/>
      <name val="Calibri"/>
      <family val="2"/>
    </font>
    <font>
      <sz val="11"/>
      <color rgb="FF762828"/>
      <name val="Calibri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charset val="1"/>
    </font>
    <font>
      <b/>
      <sz val="8"/>
      <color rgb="FF000000"/>
      <name val="Arial"/>
    </font>
    <font>
      <b/>
      <sz val="8"/>
      <name val="Arial"/>
    </font>
    <font>
      <sz val="8"/>
      <color rgb="FFFFFFFF"/>
      <name val="Arial"/>
    </font>
    <font>
      <sz val="8"/>
      <color rgb="FF000000"/>
      <name val="Arial"/>
    </font>
    <font>
      <sz val="8"/>
      <name val="Arial"/>
    </font>
    <font>
      <b/>
      <sz val="12"/>
      <color rgb="FFFFFFFF"/>
      <name val="Cambria"/>
      <family val="1"/>
    </font>
    <font>
      <b/>
      <sz val="8"/>
      <color rgb="FFFF0000"/>
      <name val="Arial"/>
    </font>
    <font>
      <b/>
      <u/>
      <sz val="8"/>
      <color rgb="FF000000"/>
      <name val="Arial"/>
    </font>
    <font>
      <sz val="9"/>
      <name val="Arial"/>
    </font>
    <font>
      <sz val="9"/>
      <color rgb="FFFFFFFF"/>
      <name val="Arial"/>
    </font>
    <font>
      <sz val="9"/>
      <color rgb="FF000000"/>
      <name val="Arial"/>
    </font>
    <font>
      <b/>
      <u/>
      <sz val="8"/>
      <color rgb="FF00B050"/>
      <name val="Arial"/>
    </font>
    <font>
      <b/>
      <sz val="8"/>
      <color rgb="FF00B050"/>
      <name val="Arial"/>
    </font>
    <font>
      <b/>
      <sz val="12"/>
      <color rgb="FF762828"/>
      <name val="Arial"/>
      <family val="2"/>
    </font>
    <font>
      <b/>
      <sz val="9"/>
      <color rgb="FF762828"/>
      <name val="Arial"/>
      <family val="2"/>
    </font>
    <font>
      <sz val="9"/>
      <name val="Arial"/>
      <charset val="1"/>
    </font>
    <font>
      <b/>
      <sz val="12"/>
      <color rgb="FFFFFFFF"/>
      <name val="Arial"/>
      <charset val="1"/>
    </font>
    <font>
      <b/>
      <sz val="12"/>
      <color rgb="FFFFFFFF"/>
      <name val="Arial"/>
    </font>
    <font>
      <sz val="11"/>
      <color rgb="FFFFC000"/>
      <name val="Arial"/>
    </font>
    <font>
      <sz val="11"/>
      <color rgb="FF000000"/>
      <name val="Calibri"/>
      <family val="2"/>
      <scheme val="minor"/>
    </font>
    <font>
      <b/>
      <sz val="28"/>
      <color rgb="FFFFFFFF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FF0000"/>
      <name val="Calibri"/>
      <scheme val="minor"/>
    </font>
    <font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548235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rgb="FF242424"/>
      <name val="Arial"/>
      <family val="2"/>
    </font>
    <font>
      <sz val="9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001F5B"/>
        <bgColor rgb="FF0A2463"/>
      </patternFill>
    </fill>
    <fill>
      <patternFill patternType="solid">
        <fgColor rgb="FFD6E4F0"/>
        <bgColor rgb="FFD9D9D9"/>
      </patternFill>
    </fill>
    <fill>
      <patternFill patternType="solid">
        <fgColor rgb="FFFFF3CD"/>
        <bgColor rgb="FFFFFACD"/>
      </patternFill>
    </fill>
    <fill>
      <patternFill patternType="solid">
        <fgColor rgb="FFFFCCCC"/>
        <bgColor rgb="FFFFE5B4"/>
      </patternFill>
    </fill>
    <fill>
      <patternFill patternType="solid">
        <fgColor rgb="FFFFE5B4"/>
        <bgColor rgb="FFFFF3CD"/>
      </patternFill>
    </fill>
    <fill>
      <patternFill patternType="solid">
        <fgColor rgb="FFFFFACD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1B4F8A"/>
        <bgColor rgb="FF0066CC"/>
      </patternFill>
    </fill>
    <fill>
      <patternFill patternType="solid">
        <fgColor rgb="FFFFFFFF"/>
        <bgColor rgb="FFEAF0FB"/>
      </patternFill>
    </fill>
    <fill>
      <patternFill patternType="solid">
        <fgColor rgb="FFEAF0FB"/>
        <bgColor rgb="FFE8F5E9"/>
      </patternFill>
    </fill>
    <fill>
      <patternFill patternType="solid">
        <fgColor rgb="FFC8A84B"/>
        <bgColor rgb="FFBBBBBB"/>
      </patternFill>
    </fill>
    <fill>
      <patternFill patternType="solid">
        <fgColor rgb="FFE8F5E9"/>
        <bgColor rgb="FFEAF0FB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E2EFDA"/>
      </patternFill>
    </fill>
    <fill>
      <patternFill patternType="solid">
        <fgColor rgb="FFF4B6C2"/>
        <bgColor rgb="FFD9D9D9"/>
      </patternFill>
    </fill>
    <fill>
      <patternFill patternType="solid">
        <fgColor rgb="FFBF8F00"/>
        <bgColor rgb="FF808000"/>
      </patternFill>
    </fill>
    <fill>
      <patternFill patternType="solid">
        <fgColor rgb="FFFCE4D6"/>
        <bgColor rgb="FFFCE4B6"/>
      </patternFill>
    </fill>
    <fill>
      <patternFill patternType="solid">
        <fgColor rgb="FFFFFF00"/>
        <bgColor rgb="FFD9D9D9"/>
      </patternFill>
    </fill>
    <fill>
      <patternFill patternType="solid">
        <fgColor rgb="FFC00000"/>
        <bgColor rgb="FF333333"/>
      </patternFill>
    </fill>
    <fill>
      <patternFill patternType="solid">
        <fgColor rgb="FF762828"/>
        <bgColor rgb="FF333333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62828"/>
        <bgColor rgb="FFE2EFDA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rgb="FFFCE4B6"/>
      </patternFill>
    </fill>
    <fill>
      <patternFill patternType="solid">
        <fgColor theme="0"/>
        <bgColor rgb="FFD9D9D9"/>
      </patternFill>
    </fill>
    <fill>
      <patternFill patternType="solid">
        <fgColor rgb="FF762828"/>
        <bgColor rgb="FF0A2463"/>
      </patternFill>
    </fill>
    <fill>
      <patternFill patternType="solid">
        <fgColor rgb="FF762828"/>
        <bgColor rgb="FF001F5B"/>
      </patternFill>
    </fill>
    <fill>
      <patternFill patternType="solid">
        <fgColor theme="9" tint="-0.249977111117893"/>
        <bgColor rgb="FF0066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6282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32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CECDAB"/>
        <bgColor rgb="FFD9D9D9"/>
      </patternFill>
    </fill>
    <fill>
      <patternFill patternType="solid">
        <fgColor theme="4" tint="0.79998168889431442"/>
        <bgColor rgb="FFEAF0FB"/>
      </patternFill>
    </fill>
    <fill>
      <patternFill patternType="solid">
        <fgColor rgb="FFC00000"/>
        <bgColor indexed="64"/>
      </patternFill>
    </fill>
  </fills>
  <borders count="4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7" fillId="1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/>
    </xf>
    <xf numFmtId="0" fontId="14" fillId="17" borderId="3" xfId="0" applyFont="1" applyFill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18" fillId="28" borderId="3" xfId="0" applyFont="1" applyFill="1" applyBorder="1" applyAlignment="1">
      <alignment horizontal="center" vertical="center" wrapText="1"/>
    </xf>
    <xf numFmtId="0" fontId="18" fillId="29" borderId="3" xfId="0" applyFont="1" applyFill="1" applyBorder="1" applyAlignment="1">
      <alignment horizontal="center" vertical="center" wrapText="1"/>
    </xf>
    <xf numFmtId="0" fontId="18" fillId="30" borderId="3" xfId="0" applyFont="1" applyFill="1" applyBorder="1" applyAlignment="1">
      <alignment horizontal="center" vertical="center" wrapText="1"/>
    </xf>
    <xf numFmtId="0" fontId="9" fillId="31" borderId="3" xfId="0" applyFont="1" applyFill="1" applyBorder="1" applyAlignment="1">
      <alignment horizontal="center" vertical="center" wrapText="1"/>
    </xf>
    <xf numFmtId="0" fontId="10" fillId="32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12" fillId="32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wrapText="1"/>
    </xf>
    <xf numFmtId="0" fontId="35" fillId="17" borderId="3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26" borderId="9" xfId="0" applyFont="1" applyFill="1" applyBorder="1" applyAlignment="1">
      <alignment horizontal="center" vertical="center" wrapText="1"/>
    </xf>
    <xf numFmtId="0" fontId="34" fillId="39" borderId="9" xfId="0" applyFont="1" applyFill="1" applyBorder="1" applyAlignment="1">
      <alignment horizontal="center" vertical="center" wrapText="1"/>
    </xf>
    <xf numFmtId="0" fontId="18" fillId="15" borderId="9" xfId="0" applyFont="1" applyFill="1" applyBorder="1" applyAlignment="1">
      <alignment horizontal="center" vertical="center" wrapText="1"/>
    </xf>
    <xf numFmtId="0" fontId="20" fillId="15" borderId="9" xfId="0" applyFont="1" applyFill="1" applyBorder="1" applyAlignment="1">
      <alignment horizontal="center" vertical="center" wrapText="1"/>
    </xf>
    <xf numFmtId="0" fontId="14" fillId="18" borderId="9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18" fillId="37" borderId="9" xfId="0" applyFont="1" applyFill="1" applyBorder="1" applyAlignment="1">
      <alignment horizontal="center" vertical="center" wrapText="1"/>
    </xf>
    <xf numFmtId="0" fontId="18" fillId="38" borderId="9" xfId="0" applyFont="1" applyFill="1" applyBorder="1" applyAlignment="1">
      <alignment horizontal="center" vertical="center" wrapText="1"/>
    </xf>
    <xf numFmtId="0" fontId="38" fillId="39" borderId="9" xfId="0" applyFont="1" applyFill="1" applyBorder="1" applyAlignment="1">
      <alignment horizontal="center" vertical="center" wrapText="1"/>
    </xf>
    <xf numFmtId="0" fontId="20" fillId="37" borderId="9" xfId="0" applyFont="1" applyFill="1" applyBorder="1" applyAlignment="1">
      <alignment horizontal="center" vertical="center" wrapText="1"/>
    </xf>
    <xf numFmtId="0" fontId="31" fillId="16" borderId="9" xfId="0" applyFont="1" applyFill="1" applyBorder="1" applyAlignment="1">
      <alignment horizontal="center" vertical="center" wrapText="1"/>
    </xf>
    <xf numFmtId="0" fontId="20" fillId="38" borderId="9" xfId="0" applyFont="1" applyFill="1" applyBorder="1" applyAlignment="1">
      <alignment horizontal="center" vertical="center" wrapText="1"/>
    </xf>
    <xf numFmtId="0" fontId="30" fillId="19" borderId="9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/>
    </xf>
    <xf numFmtId="0" fontId="43" fillId="17" borderId="9" xfId="0" applyFont="1" applyFill="1" applyBorder="1" applyAlignment="1">
      <alignment horizontal="center" vertical="center"/>
    </xf>
    <xf numFmtId="0" fontId="35" fillId="17" borderId="9" xfId="0" applyFont="1" applyFill="1" applyBorder="1" applyAlignment="1">
      <alignment horizontal="center" vertical="center"/>
    </xf>
    <xf numFmtId="0" fontId="44" fillId="12" borderId="1" xfId="0" applyFont="1" applyFill="1" applyBorder="1" applyAlignment="1">
      <alignment horizontal="left" vertical="center"/>
    </xf>
    <xf numFmtId="0" fontId="26" fillId="12" borderId="1" xfId="0" applyFont="1" applyFill="1" applyBorder="1"/>
    <xf numFmtId="0" fontId="44" fillId="12" borderId="1" xfId="0" applyFont="1" applyFill="1" applyBorder="1" applyAlignment="1">
      <alignment horizontal="center" vertical="center"/>
    </xf>
    <xf numFmtId="0" fontId="4" fillId="21" borderId="9" xfId="0" applyFont="1" applyFill="1" applyBorder="1" applyAlignment="1">
      <alignment horizontal="center" vertical="center" wrapText="1"/>
    </xf>
    <xf numFmtId="0" fontId="24" fillId="26" borderId="10" xfId="0" applyFont="1" applyFill="1" applyBorder="1" applyAlignment="1">
      <alignment horizontal="center" vertical="center" wrapText="1"/>
    </xf>
    <xf numFmtId="0" fontId="34" fillId="39" borderId="10" xfId="0" applyFont="1" applyFill="1" applyBorder="1" applyAlignment="1">
      <alignment horizontal="center" vertical="center" wrapText="1"/>
    </xf>
    <xf numFmtId="0" fontId="18" fillId="15" borderId="10" xfId="0" applyFont="1" applyFill="1" applyBorder="1" applyAlignment="1">
      <alignment horizontal="center" vertical="center" wrapText="1"/>
    </xf>
    <xf numFmtId="0" fontId="20" fillId="15" borderId="10" xfId="0" applyFont="1" applyFill="1" applyBorder="1" applyAlignment="1">
      <alignment horizontal="center" vertical="center" wrapText="1"/>
    </xf>
    <xf numFmtId="0" fontId="14" fillId="18" borderId="10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9" fillId="27" borderId="11" xfId="0" applyFont="1" applyFill="1" applyBorder="1" applyAlignment="1">
      <alignment horizontal="center" vertical="center" wrapText="1"/>
    </xf>
    <xf numFmtId="0" fontId="18" fillId="28" borderId="11" xfId="0" applyFont="1" applyFill="1" applyBorder="1" applyAlignment="1">
      <alignment horizontal="center" vertical="center" wrapText="1"/>
    </xf>
    <xf numFmtId="0" fontId="14" fillId="18" borderId="11" xfId="0" applyFont="1" applyFill="1" applyBorder="1" applyAlignment="1">
      <alignment horizontal="center"/>
    </xf>
    <xf numFmtId="0" fontId="14" fillId="17" borderId="11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4" fillId="14" borderId="9" xfId="0" applyNumberFormat="1" applyFont="1" applyFill="1" applyBorder="1" applyAlignment="1">
      <alignment horizontal="center" vertical="center" textRotation="90" wrapText="1"/>
    </xf>
    <xf numFmtId="164" fontId="4" fillId="20" borderId="9" xfId="0" applyNumberFormat="1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45" fillId="16" borderId="1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45" fillId="16" borderId="12" xfId="0" applyFont="1" applyFill="1" applyBorder="1" applyAlignment="1">
      <alignment horizontal="center" vertical="center"/>
    </xf>
    <xf numFmtId="20" fontId="45" fillId="16" borderId="12" xfId="0" applyNumberFormat="1" applyFont="1" applyFill="1" applyBorder="1" applyAlignment="1">
      <alignment horizontal="center"/>
    </xf>
    <xf numFmtId="20" fontId="45" fillId="16" borderId="12" xfId="0" applyNumberFormat="1" applyFont="1" applyFill="1" applyBorder="1" applyAlignment="1">
      <alignment horizontal="center" vertical="center"/>
    </xf>
    <xf numFmtId="165" fontId="45" fillId="16" borderId="12" xfId="0" applyNumberFormat="1" applyFont="1" applyFill="1" applyBorder="1" applyAlignment="1">
      <alignment horizontal="center"/>
    </xf>
    <xf numFmtId="0" fontId="46" fillId="40" borderId="3" xfId="0" applyFont="1" applyFill="1" applyBorder="1" applyAlignment="1">
      <alignment horizontal="center" vertical="center" wrapText="1"/>
    </xf>
    <xf numFmtId="0" fontId="46" fillId="40" borderId="8" xfId="0" applyFont="1" applyFill="1" applyBorder="1" applyAlignment="1">
      <alignment horizontal="center" vertical="center" wrapText="1"/>
    </xf>
    <xf numFmtId="0" fontId="45" fillId="16" borderId="11" xfId="0" applyFont="1" applyFill="1" applyBorder="1"/>
    <xf numFmtId="0" fontId="45" fillId="37" borderId="11" xfId="0" applyFont="1" applyFill="1" applyBorder="1"/>
    <xf numFmtId="0" fontId="45" fillId="37" borderId="12" xfId="0" applyFont="1" applyFill="1" applyBorder="1" applyAlignment="1">
      <alignment horizontal="center" vertical="center"/>
    </xf>
    <xf numFmtId="165" fontId="45" fillId="37" borderId="12" xfId="0" applyNumberFormat="1" applyFont="1" applyFill="1" applyBorder="1" applyAlignment="1">
      <alignment horizontal="center"/>
    </xf>
    <xf numFmtId="0" fontId="45" fillId="37" borderId="12" xfId="0" applyFont="1" applyFill="1" applyBorder="1" applyAlignment="1">
      <alignment horizontal="center"/>
    </xf>
    <xf numFmtId="20" fontId="45" fillId="37" borderId="12" xfId="0" applyNumberFormat="1" applyFont="1" applyFill="1" applyBorder="1" applyAlignment="1">
      <alignment horizontal="center" vertical="center"/>
    </xf>
    <xf numFmtId="20" fontId="45" fillId="37" borderId="12" xfId="0" applyNumberFormat="1" applyFont="1" applyFill="1" applyBorder="1" applyAlignment="1">
      <alignment horizontal="center"/>
    </xf>
    <xf numFmtId="0" fontId="45" fillId="41" borderId="11" xfId="0" applyFont="1" applyFill="1" applyBorder="1"/>
    <xf numFmtId="0" fontId="45" fillId="41" borderId="12" xfId="0" applyFont="1" applyFill="1" applyBorder="1" applyAlignment="1">
      <alignment horizontal="center" vertical="center"/>
    </xf>
    <xf numFmtId="165" fontId="45" fillId="41" borderId="12" xfId="0" applyNumberFormat="1" applyFont="1" applyFill="1" applyBorder="1" applyAlignment="1">
      <alignment horizontal="center"/>
    </xf>
    <xf numFmtId="0" fontId="45" fillId="41" borderId="12" xfId="0" applyFont="1" applyFill="1" applyBorder="1" applyAlignment="1">
      <alignment horizontal="center"/>
    </xf>
    <xf numFmtId="20" fontId="45" fillId="41" borderId="12" xfId="0" applyNumberFormat="1" applyFont="1" applyFill="1" applyBorder="1" applyAlignment="1">
      <alignment horizontal="center" vertical="center"/>
    </xf>
    <xf numFmtId="20" fontId="45" fillId="41" borderId="12" xfId="0" applyNumberFormat="1" applyFont="1" applyFill="1" applyBorder="1" applyAlignment="1">
      <alignment horizontal="center"/>
    </xf>
    <xf numFmtId="0" fontId="45" fillId="39" borderId="11" xfId="0" applyFont="1" applyFill="1" applyBorder="1"/>
    <xf numFmtId="0" fontId="45" fillId="39" borderId="12" xfId="0" applyFont="1" applyFill="1" applyBorder="1" applyAlignment="1">
      <alignment horizontal="center" vertical="center"/>
    </xf>
    <xf numFmtId="165" fontId="45" fillId="39" borderId="12" xfId="0" applyNumberFormat="1" applyFont="1" applyFill="1" applyBorder="1" applyAlignment="1">
      <alignment horizontal="center"/>
    </xf>
    <xf numFmtId="0" fontId="45" fillId="39" borderId="12" xfId="0" applyFont="1" applyFill="1" applyBorder="1" applyAlignment="1">
      <alignment horizontal="center"/>
    </xf>
    <xf numFmtId="20" fontId="45" fillId="39" borderId="12" xfId="0" applyNumberFormat="1" applyFont="1" applyFill="1" applyBorder="1" applyAlignment="1">
      <alignment horizontal="center" vertical="center"/>
    </xf>
    <xf numFmtId="20" fontId="45" fillId="39" borderId="12" xfId="0" applyNumberFormat="1" applyFont="1" applyFill="1" applyBorder="1" applyAlignment="1">
      <alignment horizontal="center"/>
    </xf>
    <xf numFmtId="0" fontId="51" fillId="43" borderId="9" xfId="0" applyFont="1" applyFill="1" applyBorder="1" applyAlignment="1">
      <alignment horizontal="center" vertical="center" wrapText="1"/>
    </xf>
    <xf numFmtId="0" fontId="52" fillId="44" borderId="9" xfId="0" applyFont="1" applyFill="1" applyBorder="1" applyAlignment="1">
      <alignment horizontal="center" vertical="center" wrapText="1"/>
    </xf>
    <xf numFmtId="0" fontId="51" fillId="45" borderId="9" xfId="0" applyFont="1" applyFill="1" applyBorder="1" applyAlignment="1">
      <alignment horizontal="center" vertical="center" wrapText="1"/>
    </xf>
    <xf numFmtId="20" fontId="53" fillId="46" borderId="17" xfId="0" applyNumberFormat="1" applyFont="1" applyFill="1" applyBorder="1" applyAlignment="1">
      <alignment vertical="center"/>
    </xf>
    <xf numFmtId="20" fontId="54" fillId="47" borderId="17" xfId="0" applyNumberFormat="1" applyFont="1" applyFill="1" applyBorder="1" applyAlignment="1">
      <alignment horizontal="center" vertical="center"/>
    </xf>
    <xf numFmtId="20" fontId="53" fillId="48" borderId="17" xfId="0" applyNumberFormat="1" applyFont="1" applyFill="1" applyBorder="1" applyAlignment="1">
      <alignment vertical="center"/>
    </xf>
    <xf numFmtId="20" fontId="54" fillId="38" borderId="17" xfId="0" applyNumberFormat="1" applyFont="1" applyFill="1" applyBorder="1" applyAlignment="1">
      <alignment horizontal="center" vertical="center"/>
    </xf>
    <xf numFmtId="20" fontId="54" fillId="49" borderId="17" xfId="0" applyNumberFormat="1" applyFont="1" applyFill="1" applyBorder="1" applyAlignment="1">
      <alignment horizontal="center" vertical="center"/>
    </xf>
    <xf numFmtId="20" fontId="53" fillId="48" borderId="18" xfId="0" applyNumberFormat="1" applyFont="1" applyFill="1" applyBorder="1" applyAlignment="1">
      <alignment vertical="center"/>
    </xf>
    <xf numFmtId="0" fontId="57" fillId="0" borderId="17" xfId="0" applyFont="1" applyBorder="1" applyAlignment="1">
      <alignment horizontal="left" vertical="center" wrapText="1"/>
    </xf>
    <xf numFmtId="0" fontId="58" fillId="47" borderId="17" xfId="0" applyFont="1" applyFill="1" applyBorder="1" applyAlignment="1">
      <alignment horizontal="left" vertical="center" wrapText="1"/>
    </xf>
    <xf numFmtId="0" fontId="60" fillId="0" borderId="17" xfId="0" applyFont="1" applyBorder="1" applyAlignment="1">
      <alignment horizontal="left" vertical="center" wrapText="1"/>
    </xf>
    <xf numFmtId="0" fontId="61" fillId="38" borderId="17" xfId="0" applyFont="1" applyFill="1" applyBorder="1" applyAlignment="1">
      <alignment horizontal="left" vertical="center" wrapText="1"/>
    </xf>
    <xf numFmtId="0" fontId="57" fillId="45" borderId="22" xfId="0" applyFont="1" applyFill="1" applyBorder="1" applyAlignment="1">
      <alignment horizontal="center" vertical="center" wrapText="1"/>
    </xf>
    <xf numFmtId="20" fontId="53" fillId="46" borderId="18" xfId="0" applyNumberFormat="1" applyFont="1" applyFill="1" applyBorder="1" applyAlignment="1">
      <alignment vertical="center"/>
    </xf>
    <xf numFmtId="20" fontId="53" fillId="48" borderId="9" xfId="0" applyNumberFormat="1" applyFont="1" applyFill="1" applyBorder="1" applyAlignment="1">
      <alignment vertical="center"/>
    </xf>
    <xf numFmtId="20" fontId="54" fillId="49" borderId="21" xfId="0" applyNumberFormat="1" applyFont="1" applyFill="1" applyBorder="1" applyAlignment="1">
      <alignment horizontal="center" vertical="center"/>
    </xf>
    <xf numFmtId="0" fontId="57" fillId="0" borderId="0" xfId="0" applyFont="1"/>
    <xf numFmtId="0" fontId="62" fillId="0" borderId="17" xfId="0" applyFont="1" applyBorder="1" applyAlignment="1">
      <alignment horizontal="left" vertical="center" wrapText="1"/>
    </xf>
    <xf numFmtId="0" fontId="61" fillId="50" borderId="17" xfId="0" applyFont="1" applyFill="1" applyBorder="1" applyAlignment="1">
      <alignment horizontal="left" vertical="center" wrapText="1"/>
    </xf>
    <xf numFmtId="0" fontId="57" fillId="45" borderId="17" xfId="0" applyFont="1" applyFill="1" applyBorder="1" applyAlignment="1">
      <alignment horizontal="center" vertical="center" wrapText="1"/>
    </xf>
    <xf numFmtId="20" fontId="53" fillId="46" borderId="9" xfId="0" applyNumberFormat="1" applyFont="1" applyFill="1" applyBorder="1" applyAlignment="1">
      <alignment vertical="center"/>
    </xf>
    <xf numFmtId="20" fontId="53" fillId="48" borderId="22" xfId="0" applyNumberFormat="1" applyFont="1" applyFill="1" applyBorder="1" applyAlignment="1">
      <alignment vertical="center"/>
    </xf>
    <xf numFmtId="0" fontId="57" fillId="0" borderId="17" xfId="0" applyFont="1" applyBorder="1"/>
    <xf numFmtId="20" fontId="54" fillId="38" borderId="9" xfId="0" applyNumberFormat="1" applyFont="1" applyFill="1" applyBorder="1" applyAlignment="1">
      <alignment horizontal="center" vertical="center"/>
    </xf>
    <xf numFmtId="20" fontId="53" fillId="48" borderId="21" xfId="0" applyNumberFormat="1" applyFont="1" applyFill="1" applyBorder="1" applyAlignment="1">
      <alignment vertical="center"/>
    </xf>
    <xf numFmtId="0" fontId="61" fillId="38" borderId="0" xfId="0" applyFont="1" applyFill="1" applyAlignment="1">
      <alignment vertical="center" wrapText="1"/>
    </xf>
    <xf numFmtId="0" fontId="63" fillId="0" borderId="0" xfId="0" applyFont="1"/>
    <xf numFmtId="0" fontId="61" fillId="38" borderId="17" xfId="0" applyFont="1" applyFill="1" applyBorder="1" applyAlignment="1">
      <alignment horizontal="center" vertical="center" wrapText="1"/>
    </xf>
    <xf numFmtId="0" fontId="57" fillId="0" borderId="18" xfId="0" applyFont="1" applyBorder="1" applyAlignment="1">
      <alignment horizontal="left" vertical="center" wrapText="1"/>
    </xf>
    <xf numFmtId="20" fontId="53" fillId="46" borderId="22" xfId="0" applyNumberFormat="1" applyFont="1" applyFill="1" applyBorder="1" applyAlignment="1">
      <alignment vertical="center"/>
    </xf>
    <xf numFmtId="20" fontId="53" fillId="46" borderId="26" xfId="0" applyNumberFormat="1" applyFont="1" applyFill="1" applyBorder="1" applyAlignment="1">
      <alignment vertical="center"/>
    </xf>
    <xf numFmtId="20" fontId="53" fillId="46" borderId="19" xfId="0" applyNumberFormat="1" applyFont="1" applyFill="1" applyBorder="1" applyAlignment="1">
      <alignment vertical="center"/>
    </xf>
    <xf numFmtId="20" fontId="53" fillId="46" borderId="27" xfId="0" applyNumberFormat="1" applyFont="1" applyFill="1" applyBorder="1" applyAlignment="1">
      <alignment vertical="center"/>
    </xf>
    <xf numFmtId="0" fontId="64" fillId="0" borderId="0" xfId="0" applyFont="1" applyAlignment="1">
      <alignment vertical="center"/>
    </xf>
    <xf numFmtId="0" fontId="58" fillId="47" borderId="22" xfId="0" applyFont="1" applyFill="1" applyBorder="1" applyAlignment="1">
      <alignment horizontal="left" vertical="center" wrapText="1"/>
    </xf>
    <xf numFmtId="0" fontId="63" fillId="0" borderId="17" xfId="0" applyFont="1" applyBorder="1"/>
    <xf numFmtId="0" fontId="0" fillId="0" borderId="9" xfId="0" applyBorder="1"/>
    <xf numFmtId="0" fontId="63" fillId="0" borderId="21" xfId="0" applyFont="1" applyBorder="1"/>
    <xf numFmtId="0" fontId="57" fillId="50" borderId="17" xfId="0" applyFont="1" applyFill="1" applyBorder="1" applyAlignment="1">
      <alignment horizontal="left" vertical="center" wrapText="1"/>
    </xf>
    <xf numFmtId="0" fontId="20" fillId="28" borderId="9" xfId="0" applyFont="1" applyFill="1" applyBorder="1" applyAlignment="1">
      <alignment horizontal="center" vertical="center" wrapText="1"/>
    </xf>
    <xf numFmtId="20" fontId="70" fillId="0" borderId="0" xfId="0" applyNumberFormat="1" applyFont="1" applyAlignment="1">
      <alignment horizontal="center"/>
    </xf>
    <xf numFmtId="0" fontId="71" fillId="0" borderId="0" xfId="0" applyFont="1" applyAlignment="1">
      <alignment horizontal="center"/>
    </xf>
    <xf numFmtId="0" fontId="4" fillId="40" borderId="8" xfId="0" applyFont="1" applyFill="1" applyBorder="1" applyAlignment="1">
      <alignment horizontal="center" vertical="center" wrapText="1"/>
    </xf>
    <xf numFmtId="0" fontId="24" fillId="26" borderId="3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8" fillId="39" borderId="10" xfId="0" applyFont="1" applyFill="1" applyBorder="1" applyAlignment="1">
      <alignment horizontal="center" vertical="center" wrapText="1"/>
    </xf>
    <xf numFmtId="0" fontId="20" fillId="39" borderId="9" xfId="0" applyFont="1" applyFill="1" applyBorder="1" applyAlignment="1">
      <alignment horizontal="center" vertical="center" wrapText="1"/>
    </xf>
    <xf numFmtId="0" fontId="18" fillId="39" borderId="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4" fillId="18" borderId="34" xfId="0" applyFont="1" applyFill="1" applyBorder="1" applyAlignment="1">
      <alignment horizontal="center"/>
    </xf>
    <xf numFmtId="0" fontId="20" fillId="39" borderId="19" xfId="0" applyFont="1" applyFill="1" applyBorder="1" applyAlignment="1">
      <alignment horizontal="center" vertical="center" wrapText="1"/>
    </xf>
    <xf numFmtId="0" fontId="18" fillId="39" borderId="19" xfId="0" applyFont="1" applyFill="1" applyBorder="1" applyAlignment="1">
      <alignment horizontal="center" vertical="center" wrapText="1"/>
    </xf>
    <xf numFmtId="0" fontId="9" fillId="16" borderId="19" xfId="0" applyFont="1" applyFill="1" applyBorder="1" applyAlignment="1">
      <alignment horizontal="center" vertical="center" wrapText="1"/>
    </xf>
    <xf numFmtId="0" fontId="20" fillId="39" borderId="10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wrapText="1"/>
    </xf>
    <xf numFmtId="0" fontId="0" fillId="0" borderId="17" xfId="0" applyBorder="1"/>
    <xf numFmtId="0" fontId="20" fillId="38" borderId="19" xfId="0" applyFont="1" applyFill="1" applyBorder="1" applyAlignment="1">
      <alignment horizontal="center" vertical="center" wrapText="1"/>
    </xf>
    <xf numFmtId="0" fontId="72" fillId="19" borderId="19" xfId="0" applyFont="1" applyFill="1" applyBorder="1" applyAlignment="1">
      <alignment horizontal="center" vertical="center" wrapText="1"/>
    </xf>
    <xf numFmtId="0" fontId="18" fillId="38" borderId="19" xfId="0" applyFont="1" applyFill="1" applyBorder="1" applyAlignment="1">
      <alignment horizontal="center" vertical="center" wrapText="1"/>
    </xf>
    <xf numFmtId="0" fontId="18" fillId="38" borderId="10" xfId="0" applyFont="1" applyFill="1" applyBorder="1" applyAlignment="1">
      <alignment horizontal="center" vertical="center" wrapText="1"/>
    </xf>
    <xf numFmtId="0" fontId="18" fillId="51" borderId="9" xfId="0" applyFont="1" applyFill="1" applyBorder="1" applyAlignment="1">
      <alignment horizontal="center" vertical="center" wrapText="1"/>
    </xf>
    <xf numFmtId="0" fontId="18" fillId="38" borderId="37" xfId="0" applyFont="1" applyFill="1" applyBorder="1" applyAlignment="1">
      <alignment horizontal="center" vertical="center" wrapText="1"/>
    </xf>
    <xf numFmtId="0" fontId="18" fillId="39" borderId="37" xfId="0" applyFont="1" applyFill="1" applyBorder="1" applyAlignment="1">
      <alignment horizontal="center" vertical="center" wrapText="1"/>
    </xf>
    <xf numFmtId="0" fontId="18" fillId="37" borderId="10" xfId="0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/>
    </xf>
    <xf numFmtId="166" fontId="8" fillId="31" borderId="1" xfId="0" applyNumberFormat="1" applyFont="1" applyFill="1" applyBorder="1" applyAlignment="1">
      <alignment horizontal="center" vertical="center"/>
    </xf>
    <xf numFmtId="0" fontId="0" fillId="46" borderId="0" xfId="0" applyFill="1"/>
    <xf numFmtId="166" fontId="8" fillId="53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8" fillId="54" borderId="1" xfId="0" applyFont="1" applyFill="1" applyBorder="1" applyAlignment="1">
      <alignment horizontal="center" vertical="center"/>
    </xf>
    <xf numFmtId="0" fontId="24" fillId="22" borderId="9" xfId="0" applyFont="1" applyFill="1" applyBorder="1" applyAlignment="1">
      <alignment horizontal="center" vertical="center" wrapText="1"/>
    </xf>
    <xf numFmtId="164" fontId="4" fillId="55" borderId="9" xfId="0" applyNumberFormat="1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/>
    </xf>
    <xf numFmtId="0" fontId="75" fillId="46" borderId="9" xfId="0" applyFont="1" applyFill="1" applyBorder="1" applyAlignment="1">
      <alignment horizontal="center" vertical="center" wrapText="1"/>
    </xf>
    <xf numFmtId="0" fontId="75" fillId="28" borderId="9" xfId="0" applyFont="1" applyFill="1" applyBorder="1" applyAlignment="1">
      <alignment horizontal="center" vertical="center" wrapText="1"/>
    </xf>
    <xf numFmtId="0" fontId="75" fillId="52" borderId="9" xfId="0" applyFont="1" applyFill="1" applyBorder="1" applyAlignment="1">
      <alignment horizontal="center" vertical="center" wrapText="1"/>
    </xf>
    <xf numFmtId="0" fontId="75" fillId="28" borderId="17" xfId="0" applyFont="1" applyFill="1" applyBorder="1" applyAlignment="1">
      <alignment horizontal="center" vertical="center" wrapText="1"/>
    </xf>
    <xf numFmtId="0" fontId="75" fillId="51" borderId="17" xfId="0" applyFont="1" applyFill="1" applyBorder="1" applyAlignment="1">
      <alignment horizontal="center" vertical="center" wrapText="1"/>
    </xf>
    <xf numFmtId="0" fontId="75" fillId="15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47" fillId="40" borderId="13" xfId="0" applyFont="1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2" fillId="36" borderId="0" xfId="0" applyFont="1" applyFill="1" applyAlignment="1">
      <alignment horizontal="center"/>
    </xf>
    <xf numFmtId="0" fontId="17" fillId="14" borderId="0" xfId="0" applyFont="1" applyFill="1" applyAlignment="1">
      <alignment horizontal="center" vertical="center"/>
    </xf>
    <xf numFmtId="0" fontId="0" fillId="35" borderId="0" xfId="0" applyFill="1" applyAlignment="1">
      <alignment horizontal="center"/>
    </xf>
    <xf numFmtId="0" fontId="23" fillId="21" borderId="0" xfId="0" applyFont="1" applyFill="1" applyAlignment="1">
      <alignment horizontal="left" vertical="center"/>
    </xf>
    <xf numFmtId="0" fontId="28" fillId="16" borderId="4" xfId="0" applyFont="1" applyFill="1" applyBorder="1" applyAlignment="1">
      <alignment horizontal="center" vertical="center" wrapText="1"/>
    </xf>
    <xf numFmtId="0" fontId="28" fillId="16" borderId="0" xfId="0" applyFont="1" applyFill="1" applyAlignment="1">
      <alignment horizontal="center" vertical="center" wrapText="1"/>
    </xf>
    <xf numFmtId="0" fontId="28" fillId="39" borderId="7" xfId="0" applyFont="1" applyFill="1" applyBorder="1" applyAlignment="1">
      <alignment horizontal="center" vertical="center" wrapText="1"/>
    </xf>
    <xf numFmtId="0" fontId="28" fillId="39" borderId="8" xfId="0" applyFont="1" applyFill="1" applyBorder="1" applyAlignment="1">
      <alignment horizontal="center" vertical="center" wrapText="1"/>
    </xf>
    <xf numFmtId="0" fontId="28" fillId="38" borderId="7" xfId="0" applyFont="1" applyFill="1" applyBorder="1" applyAlignment="1">
      <alignment horizontal="center" vertical="center" wrapText="1"/>
    </xf>
    <xf numFmtId="0" fontId="28" fillId="38" borderId="8" xfId="0" applyFont="1" applyFill="1" applyBorder="1" applyAlignment="1">
      <alignment horizontal="center" vertical="center" wrapText="1"/>
    </xf>
    <xf numFmtId="0" fontId="28" fillId="37" borderId="7" xfId="0" applyFont="1" applyFill="1" applyBorder="1" applyAlignment="1">
      <alignment horizontal="center" vertical="center" wrapText="1"/>
    </xf>
    <xf numFmtId="0" fontId="28" fillId="37" borderId="8" xfId="0" applyFont="1" applyFill="1" applyBorder="1" applyAlignment="1">
      <alignment horizontal="center" vertical="center" wrapText="1"/>
    </xf>
    <xf numFmtId="0" fontId="28" fillId="29" borderId="7" xfId="0" applyFont="1" applyFill="1" applyBorder="1" applyAlignment="1">
      <alignment horizontal="center" vertical="center" wrapText="1"/>
    </xf>
    <xf numFmtId="0" fontId="28" fillId="29" borderId="8" xfId="0" applyFont="1" applyFill="1" applyBorder="1" applyAlignment="1">
      <alignment horizontal="center" vertical="center" wrapText="1"/>
    </xf>
    <xf numFmtId="0" fontId="28" fillId="15" borderId="7" xfId="0" applyFont="1" applyFill="1" applyBorder="1" applyAlignment="1">
      <alignment horizontal="center" vertical="center" wrapText="1"/>
    </xf>
    <xf numFmtId="0" fontId="28" fillId="15" borderId="8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/>
    </xf>
    <xf numFmtId="0" fontId="25" fillId="0" borderId="0" xfId="0" applyFont="1" applyAlignment="1">
      <alignment horizontal="center" vertical="center" textRotation="255"/>
    </xf>
    <xf numFmtId="0" fontId="25" fillId="0" borderId="5" xfId="0" applyFont="1" applyBorder="1" applyAlignment="1">
      <alignment horizontal="center" vertical="center" textRotation="255"/>
    </xf>
    <xf numFmtId="0" fontId="25" fillId="0" borderId="4" xfId="0" applyFont="1" applyBorder="1" applyAlignment="1">
      <alignment horizontal="center" vertical="center" textRotation="255"/>
    </xf>
    <xf numFmtId="0" fontId="25" fillId="0" borderId="6" xfId="0" applyFont="1" applyBorder="1" applyAlignment="1">
      <alignment horizontal="center" vertical="center" textRotation="255"/>
    </xf>
    <xf numFmtId="0" fontId="75" fillId="28" borderId="19" xfId="0" applyFont="1" applyFill="1" applyBorder="1" applyAlignment="1">
      <alignment horizontal="center" vertical="center" wrapText="1"/>
    </xf>
    <xf numFmtId="0" fontId="75" fillId="28" borderId="10" xfId="0" applyFont="1" applyFill="1" applyBorder="1" applyAlignment="1">
      <alignment horizontal="center" vertical="center" wrapText="1"/>
    </xf>
    <xf numFmtId="0" fontId="75" fillId="46" borderId="19" xfId="0" applyFont="1" applyFill="1" applyBorder="1" applyAlignment="1">
      <alignment horizontal="center" vertical="center" wrapText="1"/>
    </xf>
    <xf numFmtId="0" fontId="75" fillId="46" borderId="10" xfId="0" applyFont="1" applyFill="1" applyBorder="1" applyAlignment="1">
      <alignment horizontal="center" vertical="center" wrapText="1"/>
    </xf>
    <xf numFmtId="0" fontId="18" fillId="15" borderId="19" xfId="0" applyFont="1" applyFill="1" applyBorder="1" applyAlignment="1">
      <alignment horizontal="center" vertical="center" wrapText="1"/>
    </xf>
    <xf numFmtId="0" fontId="18" fillId="15" borderId="37" xfId="0" applyFont="1" applyFill="1" applyBorder="1" applyAlignment="1">
      <alignment horizontal="center" vertical="center" wrapText="1"/>
    </xf>
    <xf numFmtId="0" fontId="18" fillId="15" borderId="10" xfId="0" applyFont="1" applyFill="1" applyBorder="1" applyAlignment="1">
      <alignment horizontal="center" vertical="center" wrapText="1"/>
    </xf>
    <xf numFmtId="0" fontId="18" fillId="15" borderId="0" xfId="0" applyFont="1" applyFill="1" applyAlignment="1">
      <alignment horizontal="center" vertical="center" wrapText="1"/>
    </xf>
    <xf numFmtId="0" fontId="18" fillId="15" borderId="16" xfId="0" applyFont="1" applyFill="1" applyBorder="1" applyAlignment="1">
      <alignment horizontal="center" vertical="center" wrapText="1"/>
    </xf>
    <xf numFmtId="0" fontId="18" fillId="15" borderId="28" xfId="0" applyFont="1" applyFill="1" applyBorder="1" applyAlignment="1">
      <alignment horizontal="center" vertical="center" wrapText="1"/>
    </xf>
    <xf numFmtId="0" fontId="18" fillId="15" borderId="29" xfId="0" applyFont="1" applyFill="1" applyBorder="1" applyAlignment="1">
      <alignment horizontal="center" vertical="center" wrapText="1"/>
    </xf>
    <xf numFmtId="0" fontId="18" fillId="15" borderId="36" xfId="0" applyFont="1" applyFill="1" applyBorder="1" applyAlignment="1">
      <alignment horizontal="center" vertical="center" wrapText="1"/>
    </xf>
    <xf numFmtId="0" fontId="18" fillId="15" borderId="39" xfId="0" applyFont="1" applyFill="1" applyBorder="1" applyAlignment="1">
      <alignment horizontal="center" vertical="center" wrapText="1"/>
    </xf>
    <xf numFmtId="0" fontId="18" fillId="15" borderId="35" xfId="0" applyFont="1" applyFill="1" applyBorder="1" applyAlignment="1">
      <alignment horizontal="center" vertical="center" wrapText="1"/>
    </xf>
    <xf numFmtId="0" fontId="20" fillId="15" borderId="19" xfId="0" applyFont="1" applyFill="1" applyBorder="1" applyAlignment="1">
      <alignment horizontal="center" vertical="center" wrapText="1"/>
    </xf>
    <xf numFmtId="0" fontId="20" fillId="15" borderId="37" xfId="0" applyFont="1" applyFill="1" applyBorder="1" applyAlignment="1">
      <alignment horizontal="center" vertical="center" wrapText="1"/>
    </xf>
    <xf numFmtId="0" fontId="20" fillId="15" borderId="10" xfId="0" applyFont="1" applyFill="1" applyBorder="1" applyAlignment="1">
      <alignment horizontal="center" vertical="center" wrapText="1"/>
    </xf>
    <xf numFmtId="0" fontId="20" fillId="15" borderId="16" xfId="0" applyFont="1" applyFill="1" applyBorder="1" applyAlignment="1">
      <alignment horizontal="center" vertical="center" wrapText="1"/>
    </xf>
    <xf numFmtId="0" fontId="20" fillId="15" borderId="29" xfId="0" applyFont="1" applyFill="1" applyBorder="1" applyAlignment="1">
      <alignment horizontal="center" vertical="center" wrapText="1"/>
    </xf>
    <xf numFmtId="0" fontId="18" fillId="15" borderId="38" xfId="0" applyFont="1" applyFill="1" applyBorder="1" applyAlignment="1">
      <alignment horizontal="center" vertical="center" wrapText="1"/>
    </xf>
    <xf numFmtId="0" fontId="65" fillId="0" borderId="17" xfId="0" applyFont="1" applyBorder="1" applyAlignment="1">
      <alignment horizontal="center" vertical="center"/>
    </xf>
    <xf numFmtId="0" fontId="54" fillId="43" borderId="31" xfId="0" applyFont="1" applyFill="1" applyBorder="1" applyAlignment="1">
      <alignment horizontal="center" vertical="center" wrapText="1"/>
    </xf>
    <xf numFmtId="0" fontId="66" fillId="44" borderId="9" xfId="0" applyFont="1" applyFill="1" applyBorder="1" applyAlignment="1">
      <alignment horizontal="center" vertical="center" wrapText="1"/>
    </xf>
    <xf numFmtId="0" fontId="54" fillId="45" borderId="32" xfId="0" applyFont="1" applyFill="1" applyBorder="1" applyAlignment="1">
      <alignment horizontal="center" vertical="center" wrapText="1"/>
    </xf>
    <xf numFmtId="0" fontId="54" fillId="45" borderId="33" xfId="0" applyFont="1" applyFill="1" applyBorder="1" applyAlignment="1">
      <alignment horizontal="center" vertical="center" wrapText="1"/>
    </xf>
    <xf numFmtId="0" fontId="67" fillId="0" borderId="39" xfId="0" applyFont="1" applyBorder="1" applyAlignment="1">
      <alignment horizontal="center" vertical="center"/>
    </xf>
    <xf numFmtId="0" fontId="67" fillId="0" borderId="30" xfId="0" applyFont="1" applyBorder="1" applyAlignment="1">
      <alignment horizontal="center" vertical="center"/>
    </xf>
    <xf numFmtId="20" fontId="64" fillId="0" borderId="10" xfId="0" applyNumberFormat="1" applyFont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20" fontId="68" fillId="0" borderId="30" xfId="0" applyNumberFormat="1" applyFont="1" applyBorder="1" applyAlignment="1">
      <alignment horizontal="center" vertical="center"/>
    </xf>
    <xf numFmtId="20" fontId="68" fillId="0" borderId="31" xfId="0" applyNumberFormat="1" applyFont="1" applyBorder="1" applyAlignment="1">
      <alignment horizontal="center" vertical="center"/>
    </xf>
    <xf numFmtId="20" fontId="69" fillId="0" borderId="9" xfId="0" applyNumberFormat="1" applyFont="1" applyBorder="1" applyAlignment="1">
      <alignment horizontal="center" vertical="center"/>
    </xf>
    <xf numFmtId="20" fontId="53" fillId="0" borderId="31" xfId="0" applyNumberFormat="1" applyFont="1" applyBorder="1" applyAlignment="1">
      <alignment horizontal="center" vertical="center"/>
    </xf>
    <xf numFmtId="20" fontId="53" fillId="0" borderId="34" xfId="0" applyNumberFormat="1" applyFont="1" applyBorder="1" applyAlignment="1">
      <alignment horizontal="center" vertical="center"/>
    </xf>
    <xf numFmtId="20" fontId="6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2" borderId="0" xfId="0" applyFont="1" applyFill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8" fillId="11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1" fillId="33" borderId="0" xfId="0" applyFont="1" applyFill="1" applyAlignment="1">
      <alignment horizontal="left" vertical="center"/>
    </xf>
    <xf numFmtId="0" fontId="65" fillId="0" borderId="28" xfId="0" applyFont="1" applyBorder="1" applyAlignment="1">
      <alignment horizontal="center" vertical="center"/>
    </xf>
    <xf numFmtId="0" fontId="65" fillId="0" borderId="29" xfId="0" applyFont="1" applyBorder="1" applyAlignment="1">
      <alignment horizontal="center" vertical="center"/>
    </xf>
    <xf numFmtId="0" fontId="54" fillId="43" borderId="30" xfId="0" applyFont="1" applyFill="1" applyBorder="1" applyAlignment="1">
      <alignment horizontal="center" vertical="center" wrapText="1"/>
    </xf>
    <xf numFmtId="20" fontId="55" fillId="0" borderId="19" xfId="0" applyNumberFormat="1" applyFont="1" applyBorder="1" applyAlignment="1">
      <alignment horizontal="center" vertical="center"/>
    </xf>
    <xf numFmtId="20" fontId="55" fillId="0" borderId="10" xfId="0" applyNumberFormat="1" applyFont="1" applyBorder="1" applyAlignment="1">
      <alignment horizontal="center" vertical="center"/>
    </xf>
    <xf numFmtId="20" fontId="56" fillId="0" borderId="19" xfId="0" applyNumberFormat="1" applyFont="1" applyBorder="1" applyAlignment="1">
      <alignment horizontal="center" vertical="center"/>
    </xf>
    <xf numFmtId="20" fontId="56" fillId="0" borderId="10" xfId="0" applyNumberFormat="1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 wrapText="1"/>
    </xf>
    <xf numFmtId="0" fontId="57" fillId="0" borderId="19" xfId="0" applyFont="1" applyBorder="1" applyAlignment="1">
      <alignment horizontal="center" vertical="center" wrapText="1"/>
    </xf>
    <xf numFmtId="0" fontId="57" fillId="0" borderId="18" xfId="0" applyFont="1" applyBorder="1" applyAlignment="1">
      <alignment horizontal="center" vertical="center" wrapText="1"/>
    </xf>
    <xf numFmtId="0" fontId="57" fillId="0" borderId="20" xfId="0" applyFont="1" applyBorder="1" applyAlignment="1">
      <alignment horizontal="center" vertical="center" wrapText="1"/>
    </xf>
    <xf numFmtId="0" fontId="57" fillId="0" borderId="21" xfId="0" applyFont="1" applyBorder="1" applyAlignment="1">
      <alignment horizontal="center" vertical="center" wrapText="1"/>
    </xf>
    <xf numFmtId="0" fontId="57" fillId="0" borderId="23" xfId="0" applyFont="1" applyBorder="1" applyAlignment="1">
      <alignment horizontal="center" vertical="center" wrapText="1"/>
    </xf>
    <xf numFmtId="0" fontId="57" fillId="0" borderId="24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0" borderId="25" xfId="0" applyFont="1" applyBorder="1" applyAlignment="1">
      <alignment horizontal="center" vertical="center" wrapText="1"/>
    </xf>
    <xf numFmtId="0" fontId="49" fillId="42" borderId="14" xfId="0" applyFont="1" applyFill="1" applyBorder="1" applyAlignment="1">
      <alignment horizontal="center"/>
    </xf>
    <xf numFmtId="0" fontId="50" fillId="42" borderId="14" xfId="0" applyFont="1" applyFill="1" applyBorder="1" applyAlignment="1">
      <alignment horizontal="center"/>
    </xf>
    <xf numFmtId="0" fontId="50" fillId="42" borderId="15" xfId="0" applyFont="1" applyFill="1" applyBorder="1" applyAlignment="1">
      <alignment horizontal="center"/>
    </xf>
    <xf numFmtId="0" fontId="50" fillId="4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1F5B"/>
      <rgbColor rgb="FF808000"/>
      <rgbColor rgb="FF800080"/>
      <rgbColor rgb="FF008080"/>
      <rgbColor rgb="FFBBBBBB"/>
      <rgbColor rgb="FF888888"/>
      <rgbColor rgb="FF9999FF"/>
      <rgbColor rgb="FF993366"/>
      <rgbColor rgb="FFFFFACD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D6E4F0"/>
      <rgbColor rgb="FFFFF3CD"/>
      <rgbColor rgb="FF99CCFF"/>
      <rgbColor rgb="FFFFE5B4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0A2463"/>
      <rgbColor rgb="FF339966"/>
      <rgbColor rgb="FF003300"/>
      <rgbColor rgb="FF333300"/>
      <rgbColor rgb="FF993300"/>
      <rgbColor rgb="FF993366"/>
      <rgbColor rgb="FF1B4F8A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ECDAB"/>
      <color rgb="FF76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181428</xdr:rowOff>
    </xdr:from>
    <xdr:to>
      <xdr:col>22</xdr:col>
      <xdr:colOff>734785</xdr:colOff>
      <xdr:row>72</xdr:row>
      <xdr:rowOff>34613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2D6122-98A7-3713-96CA-29F64482C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48499"/>
          <a:ext cx="21317856" cy="420747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  <wetp:taskpane dockstate="right" visibility="0" width="525" row="5">
    <wetp:webextensionref xmlns:r="http://schemas.openxmlformats.org/officeDocument/2006/relationships" r:id="rId3"/>
  </wetp:taskpane>
  <wetp:taskpane dockstate="right" visibility="1" width="35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AF3779D3-7B3F-4F1C-9397-C2813CD32A78}">
  <we:reference id="wa200006575" version="1.0.0.8" store="en-US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41A8E620-CB1D-4D20-84FA-5C78800BAE56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BFEF0A6F-AEA9-45C8-B925-D776D26B9BD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009d208-9831-4e63-9df8-d8878540a62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AB734EE7-46E9-4D4C-B6ED-6C34CFB0237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4972a80-2009-496f-af45-5d078e15446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42F8-7C7C-4E0A-BDDB-CBEF6CD940BB}">
  <sheetPr>
    <tabColor rgb="FF762828"/>
    <pageSetUpPr fitToPage="1"/>
  </sheetPr>
  <dimension ref="A1:AF19"/>
  <sheetViews>
    <sheetView topLeftCell="A2" zoomScale="60" zoomScaleNormal="60" workbookViewId="0">
      <pane ySplit="1" topLeftCell="A11" activePane="bottomLeft" state="frozen"/>
      <selection pane="bottomLeft" activeCell="B1" sqref="B1:B1048576"/>
      <selection activeCell="A2" sqref="A2"/>
    </sheetView>
  </sheetViews>
  <sheetFormatPr defaultColWidth="8.5703125" defaultRowHeight="14.45"/>
  <cols>
    <col min="1" max="1" width="34" style="55" customWidth="1"/>
    <col min="2" max="3" width="15" customWidth="1"/>
    <col min="4" max="4" width="15" style="41" customWidth="1"/>
    <col min="5" max="10" width="15" customWidth="1"/>
    <col min="11" max="13" width="10" customWidth="1"/>
    <col min="14" max="14" width="13.42578125" customWidth="1"/>
    <col min="15" max="15" width="14" customWidth="1"/>
    <col min="16" max="16" width="15.28515625" customWidth="1"/>
    <col min="17" max="17" width="14.140625" customWidth="1"/>
    <col min="18" max="18" width="23.5703125" bestFit="1" customWidth="1"/>
    <col min="19" max="19" width="14.42578125" customWidth="1"/>
    <col min="20" max="20" width="13" customWidth="1"/>
    <col min="21" max="21" width="12.85546875" customWidth="1"/>
    <col min="22" max="22" width="14.140625" customWidth="1"/>
    <col min="23" max="23" width="15.7109375" customWidth="1"/>
    <col min="24" max="24" width="15" customWidth="1"/>
    <col min="25" max="25" width="16.7109375" customWidth="1"/>
    <col min="26" max="26" width="16.28515625" customWidth="1"/>
    <col min="27" max="27" width="12.28515625" customWidth="1"/>
    <col min="28" max="28" width="15" customWidth="1"/>
    <col min="29" max="29" width="15.42578125" customWidth="1"/>
    <col min="30" max="30" width="12.42578125" bestFit="1" customWidth="1"/>
  </cols>
  <sheetData>
    <row r="1" spans="1:32" ht="42" customHeight="1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</row>
    <row r="2" spans="1:32" s="95" customFormat="1" ht="25.5" customHeight="1">
      <c r="A2" s="218" t="s">
        <v>1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</row>
    <row r="3" spans="1:32" s="60" customFormat="1" ht="35.450000000000003" customHeight="1">
      <c r="A3" s="59" t="s">
        <v>2</v>
      </c>
      <c r="B3" s="229" t="s">
        <v>3</v>
      </c>
      <c r="C3" s="230"/>
      <c r="D3" s="227" t="s">
        <v>4</v>
      </c>
      <c r="E3" s="228"/>
      <c r="F3" s="225" t="s">
        <v>5</v>
      </c>
      <c r="G3" s="226"/>
      <c r="H3" s="223" t="s">
        <v>6</v>
      </c>
      <c r="I3" s="224"/>
      <c r="J3" s="221" t="s">
        <v>7</v>
      </c>
      <c r="K3" s="222"/>
      <c r="L3" s="219" t="s">
        <v>8</v>
      </c>
      <c r="M3" s="220"/>
    </row>
    <row r="4" spans="1:32" ht="15.6" customHeight="1">
      <c r="A4" s="215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42"/>
      <c r="L4" s="42"/>
      <c r="M4" s="42"/>
      <c r="N4" s="214" t="s">
        <v>10</v>
      </c>
      <c r="O4" s="214"/>
      <c r="P4" s="217" t="s">
        <v>11</v>
      </c>
      <c r="Q4" s="217"/>
      <c r="R4" s="58" t="s">
        <v>10</v>
      </c>
      <c r="S4" s="231" t="s">
        <v>12</v>
      </c>
      <c r="T4" s="231"/>
      <c r="U4" s="214" t="s">
        <v>10</v>
      </c>
      <c r="V4" s="214"/>
      <c r="W4" s="45" t="s">
        <v>13</v>
      </c>
      <c r="X4" s="214" t="s">
        <v>10</v>
      </c>
      <c r="Y4" s="214"/>
      <c r="Z4" s="44" t="s">
        <v>14</v>
      </c>
      <c r="AA4" s="214" t="s">
        <v>10</v>
      </c>
      <c r="AB4" s="214"/>
      <c r="AC4" s="43" t="s">
        <v>15</v>
      </c>
    </row>
    <row r="5" spans="1:32" s="61" customFormat="1" ht="146.25" customHeight="1">
      <c r="A5" s="84" t="s">
        <v>16</v>
      </c>
      <c r="B5" s="96">
        <v>46345</v>
      </c>
      <c r="C5" s="96">
        <v>46346</v>
      </c>
      <c r="D5" s="96">
        <v>46347</v>
      </c>
      <c r="E5" s="96">
        <v>46348</v>
      </c>
      <c r="F5" s="96">
        <v>46349</v>
      </c>
      <c r="G5" s="96">
        <v>46350</v>
      </c>
      <c r="H5" s="96">
        <v>46351</v>
      </c>
      <c r="I5" s="96">
        <v>46352</v>
      </c>
      <c r="J5" s="96">
        <v>46353</v>
      </c>
      <c r="K5" s="77" t="s">
        <v>17</v>
      </c>
      <c r="L5" s="77" t="s">
        <v>18</v>
      </c>
      <c r="M5" s="77" t="s">
        <v>19</v>
      </c>
      <c r="N5" s="97">
        <v>46354</v>
      </c>
      <c r="O5" s="97">
        <v>46355</v>
      </c>
      <c r="P5" s="96">
        <v>46356</v>
      </c>
      <c r="Q5" s="96">
        <v>46357</v>
      </c>
      <c r="R5" s="96">
        <v>46358</v>
      </c>
      <c r="S5" s="96">
        <v>46359</v>
      </c>
      <c r="T5" s="96">
        <v>46360</v>
      </c>
      <c r="U5" s="96">
        <v>46361</v>
      </c>
      <c r="V5" s="96">
        <v>46362</v>
      </c>
      <c r="W5" s="96">
        <v>46363</v>
      </c>
      <c r="X5" s="96">
        <v>46364</v>
      </c>
      <c r="Y5" s="96">
        <v>46365</v>
      </c>
      <c r="Z5" s="96">
        <v>46366</v>
      </c>
      <c r="AA5" s="96">
        <v>46367</v>
      </c>
      <c r="AB5" s="96">
        <v>46368</v>
      </c>
      <c r="AC5" s="96">
        <v>46369</v>
      </c>
      <c r="AD5" s="77" t="s">
        <v>17</v>
      </c>
      <c r="AE5" s="77" t="s">
        <v>18</v>
      </c>
      <c r="AF5" s="77" t="s">
        <v>19</v>
      </c>
    </row>
    <row r="6" spans="1:32" ht="53.45" customHeight="1">
      <c r="A6" s="85" t="s">
        <v>20</v>
      </c>
      <c r="B6" s="86" t="s">
        <v>21</v>
      </c>
      <c r="C6" s="87" t="s">
        <v>22</v>
      </c>
      <c r="D6" s="88" t="s">
        <v>22</v>
      </c>
      <c r="E6" s="86" t="s">
        <v>23</v>
      </c>
      <c r="F6" s="87" t="s">
        <v>22</v>
      </c>
      <c r="G6" s="87" t="s">
        <v>22</v>
      </c>
      <c r="H6" s="86" t="s">
        <v>24</v>
      </c>
      <c r="I6" s="87" t="s">
        <v>22</v>
      </c>
      <c r="J6" s="87" t="s">
        <v>22</v>
      </c>
      <c r="K6" s="89">
        <v>3</v>
      </c>
      <c r="L6" s="90">
        <v>3</v>
      </c>
      <c r="M6" s="89">
        <v>3</v>
      </c>
      <c r="N6" s="232" t="s">
        <v>10</v>
      </c>
      <c r="O6" s="233"/>
      <c r="P6" s="91"/>
      <c r="Q6" s="92"/>
      <c r="R6" s="235" t="s">
        <v>10</v>
      </c>
      <c r="S6" s="91"/>
      <c r="T6" s="92"/>
      <c r="U6" s="234" t="s">
        <v>10</v>
      </c>
      <c r="V6" s="233"/>
      <c r="W6" s="91"/>
      <c r="X6" s="234" t="s">
        <v>10</v>
      </c>
      <c r="Y6" s="233"/>
      <c r="Z6" s="91"/>
      <c r="AA6" s="234" t="s">
        <v>10</v>
      </c>
      <c r="AB6" s="233"/>
      <c r="AC6" s="91"/>
      <c r="AD6" s="93">
        <v>3</v>
      </c>
      <c r="AE6" s="94">
        <v>3</v>
      </c>
      <c r="AF6" s="93">
        <v>3</v>
      </c>
    </row>
    <row r="7" spans="1:32" ht="53.45" customHeight="1">
      <c r="A7" s="64" t="s">
        <v>25</v>
      </c>
      <c r="B7" s="70" t="s">
        <v>26</v>
      </c>
      <c r="C7" s="71" t="s">
        <v>27</v>
      </c>
      <c r="D7" s="67" t="s">
        <v>22</v>
      </c>
      <c r="E7" s="70" t="s">
        <v>28</v>
      </c>
      <c r="F7" s="71" t="s">
        <v>29</v>
      </c>
      <c r="G7" s="66" t="s">
        <v>22</v>
      </c>
      <c r="H7" s="70" t="s">
        <v>30</v>
      </c>
      <c r="I7" s="71" t="s">
        <v>31</v>
      </c>
      <c r="J7" s="66" t="s">
        <v>22</v>
      </c>
      <c r="K7" s="68">
        <v>6</v>
      </c>
      <c r="L7" s="69">
        <v>2</v>
      </c>
      <c r="M7" s="68">
        <v>3</v>
      </c>
      <c r="N7" s="232"/>
      <c r="O7" s="233"/>
      <c r="P7" s="47"/>
      <c r="Q7" s="48"/>
      <c r="R7" s="235"/>
      <c r="S7" s="47"/>
      <c r="T7" s="48"/>
      <c r="U7" s="234"/>
      <c r="V7" s="233"/>
      <c r="W7" s="47"/>
      <c r="X7" s="234"/>
      <c r="Y7" s="233"/>
      <c r="Z7" s="47"/>
      <c r="AA7" s="234"/>
      <c r="AB7" s="233"/>
      <c r="AC7" s="47"/>
      <c r="AD7" s="39"/>
      <c r="AE7" s="40"/>
      <c r="AF7" s="39"/>
    </row>
    <row r="8" spans="1:32" ht="53.45" customHeight="1">
      <c r="A8" s="64" t="s">
        <v>32</v>
      </c>
      <c r="B8" s="66" t="s">
        <v>22</v>
      </c>
      <c r="C8" s="71" t="s">
        <v>33</v>
      </c>
      <c r="D8" s="72" t="s">
        <v>34</v>
      </c>
      <c r="E8" s="66" t="s">
        <v>22</v>
      </c>
      <c r="F8" s="71" t="s">
        <v>35</v>
      </c>
      <c r="G8" s="65" t="s">
        <v>36</v>
      </c>
      <c r="H8" s="66" t="s">
        <v>22</v>
      </c>
      <c r="I8" s="71" t="s">
        <v>37</v>
      </c>
      <c r="J8" s="65" t="s">
        <v>38</v>
      </c>
      <c r="K8" s="68">
        <v>6</v>
      </c>
      <c r="L8" s="69">
        <v>3</v>
      </c>
      <c r="M8" s="68">
        <v>5</v>
      </c>
      <c r="N8" s="232"/>
      <c r="O8" s="233"/>
      <c r="P8" s="46"/>
      <c r="Q8" s="48"/>
      <c r="R8" s="235"/>
      <c r="S8" s="46"/>
      <c r="T8" s="48"/>
      <c r="U8" s="234"/>
      <c r="V8" s="233"/>
      <c r="W8" s="46"/>
      <c r="X8" s="234"/>
      <c r="Y8" s="233"/>
      <c r="Z8" s="46"/>
      <c r="AA8" s="234"/>
      <c r="AB8" s="233"/>
      <c r="AC8" s="46"/>
      <c r="AD8" s="39"/>
      <c r="AE8" s="40"/>
      <c r="AF8" s="39"/>
    </row>
    <row r="9" spans="1:32" ht="53.45" customHeight="1">
      <c r="A9" s="64" t="s">
        <v>39</v>
      </c>
      <c r="B9" s="71" t="s">
        <v>40</v>
      </c>
      <c r="C9" s="66" t="s">
        <v>22</v>
      </c>
      <c r="D9" s="73" t="s">
        <v>41</v>
      </c>
      <c r="E9" s="70" t="s">
        <v>42</v>
      </c>
      <c r="F9" s="66" t="s">
        <v>22</v>
      </c>
      <c r="G9" s="70" t="s">
        <v>43</v>
      </c>
      <c r="H9" s="71" t="s">
        <v>44</v>
      </c>
      <c r="I9" s="66" t="s">
        <v>22</v>
      </c>
      <c r="J9" s="70" t="s">
        <v>45</v>
      </c>
      <c r="K9" s="68">
        <v>6</v>
      </c>
      <c r="L9" s="69">
        <v>2</v>
      </c>
      <c r="M9" s="68">
        <v>3</v>
      </c>
      <c r="N9" s="232"/>
      <c r="O9" s="233"/>
      <c r="P9" s="48"/>
      <c r="Q9" s="46"/>
      <c r="R9" s="235"/>
      <c r="S9" s="48"/>
      <c r="T9" s="46"/>
      <c r="U9" s="234"/>
      <c r="V9" s="233"/>
      <c r="W9" s="48"/>
      <c r="X9" s="234"/>
      <c r="Y9" s="233"/>
      <c r="Z9" s="48"/>
      <c r="AA9" s="234"/>
      <c r="AB9" s="233"/>
      <c r="AC9" s="48"/>
      <c r="AD9" s="39"/>
      <c r="AE9" s="40"/>
      <c r="AF9" s="39"/>
    </row>
    <row r="10" spans="1:32" ht="53.45" customHeight="1">
      <c r="A10" s="64" t="s">
        <v>46</v>
      </c>
      <c r="B10" s="71" t="s">
        <v>47</v>
      </c>
      <c r="C10" s="71" t="s">
        <v>48</v>
      </c>
      <c r="D10" s="67" t="s">
        <v>22</v>
      </c>
      <c r="E10" s="71" t="s">
        <v>49</v>
      </c>
      <c r="F10" s="71" t="s">
        <v>50</v>
      </c>
      <c r="G10" s="66" t="s">
        <v>22</v>
      </c>
      <c r="H10" s="71" t="s">
        <v>51</v>
      </c>
      <c r="I10" s="71" t="s">
        <v>52</v>
      </c>
      <c r="J10" s="66" t="s">
        <v>22</v>
      </c>
      <c r="K10" s="68">
        <v>6</v>
      </c>
      <c r="L10" s="69">
        <v>2</v>
      </c>
      <c r="M10" s="68">
        <v>4</v>
      </c>
      <c r="N10" s="232"/>
      <c r="O10" s="233"/>
      <c r="P10" s="48"/>
      <c r="Q10" s="48"/>
      <c r="R10" s="235"/>
      <c r="S10" s="48"/>
      <c r="T10" s="48"/>
      <c r="U10" s="234"/>
      <c r="V10" s="233"/>
      <c r="W10" s="48"/>
      <c r="X10" s="234"/>
      <c r="Y10" s="233"/>
      <c r="Z10" s="48"/>
      <c r="AA10" s="234"/>
      <c r="AB10" s="233"/>
      <c r="AC10" s="48"/>
      <c r="AD10" s="39"/>
      <c r="AE10" s="40"/>
      <c r="AF10" s="39"/>
    </row>
    <row r="11" spans="1:32" ht="53.45" customHeight="1">
      <c r="A11" s="64" t="s">
        <v>53</v>
      </c>
      <c r="B11" s="66" t="s">
        <v>22</v>
      </c>
      <c r="C11" s="71" t="s">
        <v>54</v>
      </c>
      <c r="D11" s="73" t="s">
        <v>55</v>
      </c>
      <c r="E11" s="66" t="s">
        <v>22</v>
      </c>
      <c r="F11" s="71" t="s">
        <v>56</v>
      </c>
      <c r="G11" s="70" t="s">
        <v>57</v>
      </c>
      <c r="H11" s="66" t="s">
        <v>22</v>
      </c>
      <c r="I11" s="71" t="s">
        <v>58</v>
      </c>
      <c r="J11" s="70" t="s">
        <v>59</v>
      </c>
      <c r="K11" s="68">
        <v>6</v>
      </c>
      <c r="L11" s="69">
        <v>2</v>
      </c>
      <c r="M11" s="68">
        <v>3</v>
      </c>
      <c r="N11" s="232"/>
      <c r="O11" s="233"/>
      <c r="P11" s="46"/>
      <c r="Q11" s="48"/>
      <c r="R11" s="235"/>
      <c r="S11" s="46"/>
      <c r="T11" s="48"/>
      <c r="U11" s="234"/>
      <c r="V11" s="233"/>
      <c r="W11" s="46"/>
      <c r="X11" s="234"/>
      <c r="Y11" s="233"/>
      <c r="Z11" s="46"/>
      <c r="AA11" s="234"/>
      <c r="AB11" s="233"/>
      <c r="AC11" s="46"/>
      <c r="AD11" s="39"/>
      <c r="AE11" s="40"/>
      <c r="AF11" s="39"/>
    </row>
    <row r="12" spans="1:32" ht="96" customHeight="1">
      <c r="A12" s="64" t="s">
        <v>60</v>
      </c>
      <c r="B12" s="74" t="s">
        <v>61</v>
      </c>
      <c r="C12" s="74" t="s">
        <v>62</v>
      </c>
      <c r="D12" s="72" t="s">
        <v>63</v>
      </c>
      <c r="E12" s="74" t="s">
        <v>64</v>
      </c>
      <c r="F12" s="74" t="s">
        <v>65</v>
      </c>
      <c r="G12" s="65" t="s">
        <v>66</v>
      </c>
      <c r="H12" s="74" t="s">
        <v>67</v>
      </c>
      <c r="I12" s="74" t="s">
        <v>68</v>
      </c>
      <c r="J12" s="65" t="s">
        <v>69</v>
      </c>
      <c r="K12" s="68">
        <v>9</v>
      </c>
      <c r="L12" s="69">
        <v>4</v>
      </c>
      <c r="M12" s="68">
        <v>11</v>
      </c>
      <c r="N12" s="232"/>
      <c r="O12" s="233"/>
      <c r="P12" s="49"/>
      <c r="Q12" s="49"/>
      <c r="R12" s="235"/>
      <c r="S12" s="49"/>
      <c r="T12" s="49"/>
      <c r="U12" s="234"/>
      <c r="V12" s="233"/>
      <c r="W12" s="49"/>
      <c r="X12" s="234"/>
      <c r="Y12" s="233"/>
      <c r="Z12" s="49"/>
      <c r="AA12" s="234"/>
      <c r="AB12" s="233"/>
      <c r="AC12" s="49"/>
      <c r="AD12" s="39"/>
      <c r="AE12" s="40"/>
      <c r="AF12" s="39"/>
    </row>
    <row r="13" spans="1:32" ht="53.45" customHeight="1">
      <c r="A13" s="64" t="s">
        <v>70</v>
      </c>
      <c r="B13" s="66" t="s">
        <v>22</v>
      </c>
      <c r="C13" s="66" t="s">
        <v>22</v>
      </c>
      <c r="D13" s="72" t="s">
        <v>71</v>
      </c>
      <c r="E13" s="66" t="s">
        <v>22</v>
      </c>
      <c r="F13" s="66" t="s">
        <v>22</v>
      </c>
      <c r="G13" s="65" t="s">
        <v>72</v>
      </c>
      <c r="H13" s="66" t="s">
        <v>22</v>
      </c>
      <c r="I13" s="66" t="s">
        <v>22</v>
      </c>
      <c r="J13" s="65" t="s">
        <v>73</v>
      </c>
      <c r="K13" s="68">
        <v>3</v>
      </c>
      <c r="L13" s="69">
        <v>3</v>
      </c>
      <c r="M13" s="68">
        <v>3</v>
      </c>
      <c r="N13" s="232"/>
      <c r="O13" s="233"/>
      <c r="P13" s="46"/>
      <c r="Q13" s="46"/>
      <c r="R13" s="235"/>
      <c r="S13" s="46"/>
      <c r="T13" s="46"/>
      <c r="U13" s="234"/>
      <c r="V13" s="233"/>
      <c r="W13" s="46"/>
      <c r="X13" s="234"/>
      <c r="Y13" s="233"/>
      <c r="Z13" s="46"/>
      <c r="AA13" s="234"/>
      <c r="AB13" s="233"/>
      <c r="AC13" s="46"/>
      <c r="AD13" s="39"/>
      <c r="AE13" s="40"/>
      <c r="AF13" s="39"/>
    </row>
    <row r="14" spans="1:32" ht="96.75" customHeight="1">
      <c r="A14" s="64" t="s">
        <v>74</v>
      </c>
      <c r="B14" s="74" t="s">
        <v>75</v>
      </c>
      <c r="C14" s="74" t="s">
        <v>76</v>
      </c>
      <c r="D14" s="75" t="s">
        <v>77</v>
      </c>
      <c r="E14" s="76" t="s">
        <v>78</v>
      </c>
      <c r="F14" s="74" t="s">
        <v>79</v>
      </c>
      <c r="G14" s="71" t="s">
        <v>80</v>
      </c>
      <c r="H14" s="74" t="s">
        <v>81</v>
      </c>
      <c r="I14" s="74" t="s">
        <v>82</v>
      </c>
      <c r="J14" s="71" t="s">
        <v>83</v>
      </c>
      <c r="K14" s="68">
        <v>9</v>
      </c>
      <c r="L14" s="69">
        <v>5</v>
      </c>
      <c r="M14" s="68">
        <v>10</v>
      </c>
      <c r="N14" s="232"/>
      <c r="O14" s="233"/>
      <c r="P14" s="49"/>
      <c r="Q14" s="49"/>
      <c r="R14" s="235"/>
      <c r="S14" s="49"/>
      <c r="T14" s="49"/>
      <c r="U14" s="234"/>
      <c r="V14" s="233"/>
      <c r="W14" s="49"/>
      <c r="X14" s="234"/>
      <c r="Y14" s="233"/>
      <c r="Z14" s="49"/>
      <c r="AA14" s="234"/>
      <c r="AB14" s="233"/>
      <c r="AC14" s="49"/>
      <c r="AD14" s="39"/>
      <c r="AE14" s="40"/>
      <c r="AF14" s="39"/>
    </row>
    <row r="15" spans="1:32" ht="53.45" customHeight="1">
      <c r="A15" s="64" t="s">
        <v>84</v>
      </c>
      <c r="B15" s="66" t="s">
        <v>22</v>
      </c>
      <c r="C15" s="66" t="s">
        <v>22</v>
      </c>
      <c r="D15" s="72" t="s">
        <v>85</v>
      </c>
      <c r="E15" s="66" t="s">
        <v>22</v>
      </c>
      <c r="F15" s="66" t="s">
        <v>22</v>
      </c>
      <c r="G15" s="65" t="s">
        <v>86</v>
      </c>
      <c r="H15" s="66" t="s">
        <v>22</v>
      </c>
      <c r="I15" s="66" t="s">
        <v>22</v>
      </c>
      <c r="J15" s="65" t="s">
        <v>87</v>
      </c>
      <c r="K15" s="68">
        <v>3</v>
      </c>
      <c r="L15" s="69">
        <v>3</v>
      </c>
      <c r="M15" s="68">
        <v>3</v>
      </c>
      <c r="N15" s="232"/>
      <c r="O15" s="233"/>
      <c r="P15" s="46"/>
      <c r="Q15" s="46"/>
      <c r="R15" s="235"/>
      <c r="S15" s="46"/>
      <c r="T15" s="46"/>
      <c r="U15" s="234"/>
      <c r="V15" s="233"/>
      <c r="W15" s="46"/>
      <c r="X15" s="234"/>
      <c r="Y15" s="233"/>
      <c r="Z15" s="46"/>
      <c r="AA15" s="234"/>
      <c r="AB15" s="233"/>
      <c r="AC15" s="46"/>
      <c r="AD15" s="39"/>
      <c r="AE15" s="40"/>
      <c r="AF15" s="39"/>
    </row>
    <row r="16" spans="1:32" s="63" customFormat="1" ht="54.75" customHeight="1">
      <c r="A16" s="77" t="s">
        <v>88</v>
      </c>
      <c r="B16" s="78" t="s">
        <v>89</v>
      </c>
      <c r="C16" s="78" t="s">
        <v>89</v>
      </c>
      <c r="D16" s="79" t="s">
        <v>90</v>
      </c>
      <c r="E16" s="78" t="s">
        <v>89</v>
      </c>
      <c r="F16" s="78" t="s">
        <v>89</v>
      </c>
      <c r="G16" s="79" t="s">
        <v>90</v>
      </c>
      <c r="H16" s="78" t="s">
        <v>89</v>
      </c>
      <c r="I16" s="78" t="s">
        <v>89</v>
      </c>
      <c r="J16" s="79" t="s">
        <v>90</v>
      </c>
      <c r="K16" s="80">
        <v>57</v>
      </c>
      <c r="L16" s="80">
        <v>5</v>
      </c>
      <c r="M16" s="80">
        <v>48</v>
      </c>
      <c r="N16" s="232"/>
      <c r="O16" s="233"/>
      <c r="P16" s="62"/>
      <c r="Q16" s="62"/>
      <c r="R16" s="235"/>
      <c r="S16" s="62"/>
      <c r="T16" s="62"/>
      <c r="U16" s="234"/>
      <c r="V16" s="233"/>
      <c r="W16" s="62"/>
      <c r="X16" s="234"/>
      <c r="Y16" s="233"/>
      <c r="Z16" s="62"/>
      <c r="AA16" s="234"/>
      <c r="AB16" s="233"/>
      <c r="AC16" s="62"/>
      <c r="AD16" s="62"/>
      <c r="AE16" s="62"/>
      <c r="AF16" s="62"/>
    </row>
    <row r="18" spans="1:1">
      <c r="A18" s="56" t="s">
        <v>91</v>
      </c>
    </row>
    <row r="19" spans="1:1">
      <c r="A19" s="57" t="s">
        <v>92</v>
      </c>
    </row>
  </sheetData>
  <mergeCells count="20">
    <mergeCell ref="N6:O16"/>
    <mergeCell ref="U6:V16"/>
    <mergeCell ref="X6:Y16"/>
    <mergeCell ref="AA6:AB16"/>
    <mergeCell ref="R6:R16"/>
    <mergeCell ref="U4:V4"/>
    <mergeCell ref="X4:Y4"/>
    <mergeCell ref="AA4:AB4"/>
    <mergeCell ref="A4:J4"/>
    <mergeCell ref="A1:M1"/>
    <mergeCell ref="P4:Q4"/>
    <mergeCell ref="A2:AF2"/>
    <mergeCell ref="L3:M3"/>
    <mergeCell ref="J3:K3"/>
    <mergeCell ref="H3:I3"/>
    <mergeCell ref="F3:G3"/>
    <mergeCell ref="D3:E3"/>
    <mergeCell ref="B3:C3"/>
    <mergeCell ref="S4:T4"/>
    <mergeCell ref="N4:O4"/>
  </mergeCell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2B85-A670-4005-9978-605E07DC5EE0}">
  <sheetPr>
    <tabColor rgb="FF92D050"/>
    <pageSetUpPr fitToPage="1"/>
  </sheetPr>
  <dimension ref="A1:AF48"/>
  <sheetViews>
    <sheetView topLeftCell="A2" zoomScale="70" zoomScaleNormal="70" workbookViewId="0">
      <pane ySplit="1" topLeftCell="A24" activePane="bottomLeft" state="frozen"/>
      <selection pane="bottomLeft" activeCell="B33" sqref="B33:C35"/>
      <selection activeCell="A2" sqref="A2"/>
    </sheetView>
  </sheetViews>
  <sheetFormatPr defaultColWidth="8.5703125" defaultRowHeight="14.45"/>
  <cols>
    <col min="1" max="1" width="34" style="55" customWidth="1"/>
    <col min="2" max="2" width="16.42578125" bestFit="1" customWidth="1"/>
    <col min="3" max="3" width="15.85546875" customWidth="1"/>
    <col min="4" max="4" width="15" style="41" customWidth="1"/>
    <col min="5" max="5" width="15" style="98" customWidth="1"/>
    <col min="6" max="6" width="16.28515625" customWidth="1"/>
    <col min="7" max="8" width="15" customWidth="1"/>
    <col min="9" max="9" width="17.140625" customWidth="1"/>
    <col min="10" max="10" width="15" customWidth="1"/>
    <col min="11" max="13" width="10" customWidth="1"/>
    <col min="14" max="14" width="5.5703125" customWidth="1"/>
    <col min="15" max="15" width="5" customWidth="1"/>
    <col min="16" max="16" width="15.28515625" customWidth="1"/>
    <col min="17" max="17" width="14.140625" customWidth="1"/>
    <col min="18" max="18" width="6.7109375" customWidth="1"/>
    <col min="19" max="19" width="14.42578125" customWidth="1"/>
    <col min="20" max="20" width="13" customWidth="1"/>
    <col min="21" max="21" width="7.85546875" customWidth="1"/>
    <col min="22" max="22" width="7.5703125" customWidth="1"/>
    <col min="23" max="23" width="15.7109375" customWidth="1"/>
    <col min="24" max="24" width="9" customWidth="1"/>
    <col min="25" max="25" width="8.85546875" customWidth="1"/>
    <col min="26" max="26" width="16.28515625" customWidth="1"/>
    <col min="27" max="27" width="7.5703125" customWidth="1"/>
    <col min="28" max="28" width="7.42578125" customWidth="1"/>
    <col min="29" max="29" width="15.42578125" customWidth="1"/>
    <col min="30" max="30" width="12.42578125" bestFit="1" customWidth="1"/>
  </cols>
  <sheetData>
    <row r="1" spans="1:32" ht="42" customHeight="1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</row>
    <row r="2" spans="1:32" s="95" customFormat="1" ht="25.5" customHeight="1">
      <c r="A2" s="218" t="s">
        <v>1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</row>
    <row r="3" spans="1:32" s="60" customFormat="1" ht="35.450000000000003" customHeight="1">
      <c r="A3" s="59" t="s">
        <v>2</v>
      </c>
      <c r="B3" s="229" t="s">
        <v>3</v>
      </c>
      <c r="C3" s="230"/>
      <c r="D3" s="227" t="s">
        <v>4</v>
      </c>
      <c r="E3" s="228"/>
      <c r="F3" s="225" t="s">
        <v>5</v>
      </c>
      <c r="G3" s="226"/>
      <c r="H3" s="223" t="s">
        <v>6</v>
      </c>
      <c r="I3" s="224"/>
      <c r="J3" s="221" t="s">
        <v>7</v>
      </c>
      <c r="K3" s="222"/>
      <c r="L3" s="219" t="s">
        <v>8</v>
      </c>
      <c r="M3" s="220"/>
    </row>
    <row r="4" spans="1:32" ht="15.6" customHeight="1">
      <c r="A4" s="215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42"/>
      <c r="L4" s="42"/>
      <c r="M4" s="42"/>
      <c r="N4" s="214" t="s">
        <v>10</v>
      </c>
      <c r="O4" s="214"/>
      <c r="P4" s="217" t="s">
        <v>11</v>
      </c>
      <c r="Q4" s="217"/>
      <c r="R4" s="58" t="s">
        <v>10</v>
      </c>
      <c r="S4" s="231" t="s">
        <v>12</v>
      </c>
      <c r="T4" s="231"/>
      <c r="U4" s="214" t="s">
        <v>10</v>
      </c>
      <c r="V4" s="214"/>
      <c r="W4" s="45" t="s">
        <v>13</v>
      </c>
      <c r="X4" s="214" t="s">
        <v>10</v>
      </c>
      <c r="Y4" s="214"/>
      <c r="Z4" s="44" t="s">
        <v>14</v>
      </c>
      <c r="AA4" s="214" t="s">
        <v>10</v>
      </c>
      <c r="AB4" s="214"/>
      <c r="AC4" s="43" t="s">
        <v>15</v>
      </c>
    </row>
    <row r="5" spans="1:32" s="61" customFormat="1" ht="87" customHeight="1">
      <c r="A5" s="84" t="s">
        <v>16</v>
      </c>
      <c r="B5" s="96">
        <v>46345</v>
      </c>
      <c r="C5" s="96">
        <v>46346</v>
      </c>
      <c r="D5" s="96">
        <v>46347</v>
      </c>
      <c r="E5" s="96">
        <v>46348</v>
      </c>
      <c r="F5" s="96">
        <v>46349</v>
      </c>
      <c r="G5" s="96">
        <v>46350</v>
      </c>
      <c r="H5" s="96">
        <v>46351</v>
      </c>
      <c r="I5" s="96">
        <v>46352</v>
      </c>
      <c r="J5" s="96">
        <v>46353</v>
      </c>
      <c r="K5" s="77" t="s">
        <v>17</v>
      </c>
      <c r="L5" s="77" t="s">
        <v>18</v>
      </c>
      <c r="M5" s="77" t="s">
        <v>19</v>
      </c>
      <c r="N5" s="97">
        <v>46354</v>
      </c>
      <c r="O5" s="97">
        <v>46355</v>
      </c>
      <c r="P5" s="96">
        <v>46356</v>
      </c>
      <c r="Q5" s="96">
        <v>46357</v>
      </c>
      <c r="R5" s="202">
        <v>46358</v>
      </c>
      <c r="S5" s="96">
        <v>46359</v>
      </c>
      <c r="T5" s="96">
        <v>46360</v>
      </c>
      <c r="U5" s="202">
        <v>46361</v>
      </c>
      <c r="V5" s="202">
        <v>46362</v>
      </c>
      <c r="W5" s="96">
        <v>46363</v>
      </c>
      <c r="X5" s="202">
        <v>46364</v>
      </c>
      <c r="Y5" s="202">
        <v>46365</v>
      </c>
      <c r="Z5" s="96">
        <v>46366</v>
      </c>
      <c r="AA5" s="202">
        <v>46367</v>
      </c>
      <c r="AB5" s="202">
        <v>46368</v>
      </c>
      <c r="AC5" s="96">
        <v>46369</v>
      </c>
      <c r="AD5" s="77" t="s">
        <v>17</v>
      </c>
      <c r="AE5" s="77" t="s">
        <v>18</v>
      </c>
      <c r="AF5" s="77" t="s">
        <v>19</v>
      </c>
    </row>
    <row r="6" spans="1:32" ht="53.45" customHeight="1">
      <c r="A6" s="170" t="s">
        <v>93</v>
      </c>
      <c r="B6" s="172" t="s">
        <v>94</v>
      </c>
      <c r="C6" s="255"/>
      <c r="D6" s="249"/>
      <c r="E6" s="189" t="s">
        <v>95</v>
      </c>
      <c r="F6" s="255"/>
      <c r="G6" s="249"/>
      <c r="H6" s="189" t="s">
        <v>96</v>
      </c>
      <c r="I6" s="255"/>
      <c r="J6" s="249"/>
      <c r="K6" s="89">
        <v>3</v>
      </c>
      <c r="L6" s="90">
        <v>3</v>
      </c>
      <c r="M6" s="89">
        <v>3</v>
      </c>
      <c r="N6" s="232" t="s">
        <v>10</v>
      </c>
      <c r="O6" s="233"/>
      <c r="P6" s="91"/>
      <c r="Q6" s="92"/>
      <c r="R6" s="235" t="s">
        <v>10</v>
      </c>
      <c r="S6" s="91"/>
      <c r="T6" s="92"/>
      <c r="U6" s="234" t="s">
        <v>10</v>
      </c>
      <c r="V6" s="233"/>
      <c r="W6" s="91"/>
      <c r="X6" s="234" t="s">
        <v>10</v>
      </c>
      <c r="Y6" s="233"/>
      <c r="Z6" s="91"/>
      <c r="AA6" s="234" t="s">
        <v>10</v>
      </c>
      <c r="AB6" s="233"/>
      <c r="AC6" s="91"/>
      <c r="AD6" s="93">
        <v>3</v>
      </c>
      <c r="AE6" s="94">
        <v>3</v>
      </c>
      <c r="AF6" s="93">
        <v>3</v>
      </c>
    </row>
    <row r="7" spans="1:32" ht="21.6" customHeight="1">
      <c r="A7" s="171" t="s">
        <v>97</v>
      </c>
      <c r="B7" s="163" t="s">
        <v>98</v>
      </c>
      <c r="C7" s="247"/>
      <c r="D7" s="243"/>
      <c r="E7" s="203" t="s">
        <v>99</v>
      </c>
      <c r="F7" s="243"/>
      <c r="G7" s="243"/>
      <c r="H7" s="163" t="s">
        <v>100</v>
      </c>
      <c r="I7" s="243"/>
      <c r="J7" s="244"/>
      <c r="K7" s="89"/>
      <c r="L7" s="90"/>
      <c r="M7" s="89"/>
      <c r="N7" s="232"/>
      <c r="O7" s="233"/>
      <c r="P7" s="91"/>
      <c r="Q7" s="92"/>
      <c r="R7" s="235"/>
      <c r="S7" s="91"/>
      <c r="T7" s="92"/>
      <c r="U7" s="234"/>
      <c r="V7" s="233"/>
      <c r="W7" s="91"/>
      <c r="X7" s="234"/>
      <c r="Y7" s="233"/>
      <c r="Z7" s="91"/>
      <c r="AA7" s="234"/>
      <c r="AB7" s="233"/>
      <c r="AC7" s="91"/>
      <c r="AD7" s="93"/>
      <c r="AE7" s="94"/>
      <c r="AF7" s="93"/>
    </row>
    <row r="8" spans="1:32" ht="18" customHeight="1">
      <c r="A8" s="171" t="s">
        <v>101</v>
      </c>
      <c r="B8" s="163" t="s">
        <v>102</v>
      </c>
      <c r="C8" s="248"/>
      <c r="D8" s="245"/>
      <c r="E8" s="203" t="s">
        <v>102</v>
      </c>
      <c r="F8" s="245"/>
      <c r="G8" s="245"/>
      <c r="H8" s="163" t="s">
        <v>102</v>
      </c>
      <c r="I8" s="245"/>
      <c r="J8" s="246"/>
      <c r="K8" s="89"/>
      <c r="L8" s="90"/>
      <c r="M8" s="89"/>
      <c r="N8" s="232"/>
      <c r="O8" s="233"/>
      <c r="P8" s="91"/>
      <c r="Q8" s="92"/>
      <c r="R8" s="235"/>
      <c r="S8" s="91"/>
      <c r="T8" s="92"/>
      <c r="U8" s="234"/>
      <c r="V8" s="233"/>
      <c r="W8" s="91"/>
      <c r="X8" s="234"/>
      <c r="Y8" s="233"/>
      <c r="Z8" s="91"/>
      <c r="AA8" s="234"/>
      <c r="AB8" s="233"/>
      <c r="AC8" s="91"/>
      <c r="AD8" s="93"/>
      <c r="AE8" s="94"/>
      <c r="AF8" s="93"/>
    </row>
    <row r="9" spans="1:32" ht="53.45" customHeight="1">
      <c r="A9" s="170" t="s">
        <v>103</v>
      </c>
      <c r="B9" s="70" t="s">
        <v>26</v>
      </c>
      <c r="C9" s="71" t="s">
        <v>104</v>
      </c>
      <c r="D9" s="250"/>
      <c r="E9" s="190" t="s">
        <v>28</v>
      </c>
      <c r="F9" s="71" t="s">
        <v>105</v>
      </c>
      <c r="G9" s="240"/>
      <c r="H9" s="190" t="s">
        <v>30</v>
      </c>
      <c r="I9" s="71" t="s">
        <v>106</v>
      </c>
      <c r="J9" s="240"/>
      <c r="K9" s="68">
        <v>6</v>
      </c>
      <c r="L9" s="69">
        <v>2</v>
      </c>
      <c r="M9" s="68">
        <v>3</v>
      </c>
      <c r="N9" s="232"/>
      <c r="O9" s="233"/>
      <c r="P9" s="47"/>
      <c r="Q9" s="48"/>
      <c r="R9" s="235"/>
      <c r="S9" s="47"/>
      <c r="T9" s="48"/>
      <c r="U9" s="234"/>
      <c r="V9" s="233"/>
      <c r="W9" s="47"/>
      <c r="X9" s="234"/>
      <c r="Y9" s="233"/>
      <c r="Z9" s="47"/>
      <c r="AA9" s="234"/>
      <c r="AB9" s="233"/>
      <c r="AC9" s="47"/>
      <c r="AD9" s="39"/>
      <c r="AE9" s="40"/>
      <c r="AF9" s="39"/>
    </row>
    <row r="10" spans="1:32" ht="24" customHeight="1">
      <c r="A10" s="171" t="s">
        <v>97</v>
      </c>
      <c r="B10" s="238" t="s">
        <v>107</v>
      </c>
      <c r="C10" s="163" t="s">
        <v>108</v>
      </c>
      <c r="D10" s="251"/>
      <c r="E10" s="238" t="s">
        <v>109</v>
      </c>
      <c r="F10" s="204" t="s">
        <v>110</v>
      </c>
      <c r="G10" s="241"/>
      <c r="H10" s="238" t="s">
        <v>111</v>
      </c>
      <c r="I10" s="204" t="s">
        <v>112</v>
      </c>
      <c r="J10" s="241"/>
      <c r="K10" s="68"/>
      <c r="L10" s="69"/>
      <c r="M10" s="68"/>
      <c r="N10" s="232"/>
      <c r="O10" s="233"/>
      <c r="P10" s="47"/>
      <c r="Q10" s="48"/>
      <c r="R10" s="235"/>
      <c r="S10" s="47"/>
      <c r="T10" s="48"/>
      <c r="U10" s="234"/>
      <c r="V10" s="233"/>
      <c r="W10" s="47"/>
      <c r="X10" s="234"/>
      <c r="Y10" s="233"/>
      <c r="Z10" s="47"/>
      <c r="AA10" s="234"/>
      <c r="AB10" s="233"/>
      <c r="AC10" s="47"/>
      <c r="AD10" s="39"/>
      <c r="AE10" s="40"/>
      <c r="AF10" s="39"/>
    </row>
    <row r="11" spans="1:32" ht="18.600000000000001" customHeight="1">
      <c r="A11" s="171" t="s">
        <v>101</v>
      </c>
      <c r="B11" s="239"/>
      <c r="C11" s="163" t="s">
        <v>107</v>
      </c>
      <c r="D11" s="252"/>
      <c r="E11" s="239"/>
      <c r="F11" s="204" t="s">
        <v>113</v>
      </c>
      <c r="G11" s="242"/>
      <c r="H11" s="239"/>
      <c r="I11" s="204" t="s">
        <v>107</v>
      </c>
      <c r="J11" s="242"/>
      <c r="K11" s="68"/>
      <c r="L11" s="69"/>
      <c r="M11" s="68"/>
      <c r="N11" s="232"/>
      <c r="O11" s="233"/>
      <c r="P11" s="47"/>
      <c r="Q11" s="48"/>
      <c r="R11" s="235"/>
      <c r="S11" s="47"/>
      <c r="T11" s="48"/>
      <c r="U11" s="234"/>
      <c r="V11" s="233"/>
      <c r="W11" s="47"/>
      <c r="X11" s="234"/>
      <c r="Y11" s="233"/>
      <c r="Z11" s="47"/>
      <c r="AA11" s="234"/>
      <c r="AB11" s="233"/>
      <c r="AC11" s="47"/>
      <c r="AD11" s="39"/>
      <c r="AE11" s="40"/>
      <c r="AF11" s="39"/>
    </row>
    <row r="12" spans="1:32" ht="53.45" customHeight="1">
      <c r="A12" s="170" t="s">
        <v>114</v>
      </c>
      <c r="B12" s="249"/>
      <c r="C12" s="71" t="s">
        <v>115</v>
      </c>
      <c r="D12" s="173" t="s">
        <v>116</v>
      </c>
      <c r="E12" s="240"/>
      <c r="F12" s="71" t="s">
        <v>117</v>
      </c>
      <c r="G12" s="174" t="s">
        <v>118</v>
      </c>
      <c r="H12" s="240"/>
      <c r="I12" s="71" t="s">
        <v>119</v>
      </c>
      <c r="J12" s="174" t="s">
        <v>120</v>
      </c>
      <c r="K12" s="68">
        <v>6</v>
      </c>
      <c r="L12" s="69">
        <v>3</v>
      </c>
      <c r="M12" s="68">
        <v>5</v>
      </c>
      <c r="N12" s="232"/>
      <c r="O12" s="233"/>
      <c r="P12" s="46"/>
      <c r="Q12" s="48"/>
      <c r="R12" s="235"/>
      <c r="S12" s="46"/>
      <c r="T12" s="48"/>
      <c r="U12" s="234"/>
      <c r="V12" s="233"/>
      <c r="W12" s="46"/>
      <c r="X12" s="234"/>
      <c r="Y12" s="233"/>
      <c r="Z12" s="46"/>
      <c r="AA12" s="234"/>
      <c r="AB12" s="233"/>
      <c r="AC12" s="46"/>
      <c r="AD12" s="39"/>
      <c r="AE12" s="40"/>
      <c r="AF12" s="39"/>
    </row>
    <row r="13" spans="1:32" ht="24" customHeight="1">
      <c r="A13" s="171" t="s">
        <v>121</v>
      </c>
      <c r="B13" s="244"/>
      <c r="C13" s="204" t="s">
        <v>122</v>
      </c>
      <c r="D13" s="205" t="s">
        <v>123</v>
      </c>
      <c r="E13" s="241"/>
      <c r="F13" s="204" t="s">
        <v>124</v>
      </c>
      <c r="G13" s="204" t="s">
        <v>124</v>
      </c>
      <c r="H13" s="241"/>
      <c r="I13" s="204" t="s">
        <v>124</v>
      </c>
      <c r="J13" s="204" t="s">
        <v>112</v>
      </c>
      <c r="K13" s="68"/>
      <c r="L13" s="69"/>
      <c r="M13" s="68"/>
      <c r="N13" s="232"/>
      <c r="O13" s="233"/>
      <c r="P13" s="47"/>
      <c r="Q13" s="48"/>
      <c r="R13" s="235"/>
      <c r="S13" s="47"/>
      <c r="T13" s="48"/>
      <c r="U13" s="234"/>
      <c r="V13" s="233"/>
      <c r="W13" s="47"/>
      <c r="X13" s="234"/>
      <c r="Y13" s="233"/>
      <c r="Z13" s="47"/>
      <c r="AA13" s="234"/>
      <c r="AB13" s="233"/>
      <c r="AC13" s="47"/>
      <c r="AD13" s="39"/>
      <c r="AE13" s="40"/>
      <c r="AF13" s="39"/>
    </row>
    <row r="14" spans="1:32" ht="18.600000000000001" customHeight="1">
      <c r="A14" s="171" t="s">
        <v>125</v>
      </c>
      <c r="B14" s="246"/>
      <c r="C14" s="204" t="s">
        <v>126</v>
      </c>
      <c r="D14" s="204" t="s">
        <v>127</v>
      </c>
      <c r="E14" s="242"/>
      <c r="F14" s="204" t="s">
        <v>127</v>
      </c>
      <c r="G14" s="204" t="s">
        <v>127</v>
      </c>
      <c r="H14" s="242"/>
      <c r="I14" s="204" t="s">
        <v>128</v>
      </c>
      <c r="J14" s="204" t="s">
        <v>107</v>
      </c>
      <c r="K14" s="68"/>
      <c r="L14" s="69"/>
      <c r="M14" s="68"/>
      <c r="N14" s="232"/>
      <c r="O14" s="233"/>
      <c r="P14" s="47"/>
      <c r="Q14" s="48"/>
      <c r="R14" s="235"/>
      <c r="S14" s="47"/>
      <c r="T14" s="48"/>
      <c r="U14" s="234"/>
      <c r="V14" s="233"/>
      <c r="W14" s="47"/>
      <c r="X14" s="234"/>
      <c r="Y14" s="233"/>
      <c r="Z14" s="47"/>
      <c r="AA14" s="234"/>
      <c r="AB14" s="233"/>
      <c r="AC14" s="47"/>
      <c r="AD14" s="39"/>
      <c r="AE14" s="40"/>
      <c r="AF14" s="39"/>
    </row>
    <row r="15" spans="1:32" ht="53.45" customHeight="1">
      <c r="A15" s="170" t="s">
        <v>129</v>
      </c>
      <c r="B15" s="185" t="s">
        <v>130</v>
      </c>
      <c r="C15" s="240"/>
      <c r="D15" s="73" t="s">
        <v>41</v>
      </c>
      <c r="E15" s="70" t="s">
        <v>42</v>
      </c>
      <c r="F15" s="240"/>
      <c r="G15" s="70" t="s">
        <v>43</v>
      </c>
      <c r="H15" s="71" t="s">
        <v>131</v>
      </c>
      <c r="I15" s="240"/>
      <c r="J15" s="70" t="s">
        <v>45</v>
      </c>
      <c r="K15" s="68">
        <v>6</v>
      </c>
      <c r="L15" s="69">
        <v>2</v>
      </c>
      <c r="M15" s="68">
        <v>3</v>
      </c>
      <c r="N15" s="232"/>
      <c r="O15" s="233"/>
      <c r="P15" s="48"/>
      <c r="Q15" s="46"/>
      <c r="R15" s="235"/>
      <c r="S15" s="48"/>
      <c r="T15" s="46"/>
      <c r="U15" s="234"/>
      <c r="V15" s="233"/>
      <c r="W15" s="48"/>
      <c r="X15" s="234"/>
      <c r="Y15" s="233"/>
      <c r="Z15" s="48"/>
      <c r="AA15" s="234"/>
      <c r="AB15" s="233"/>
      <c r="AC15" s="48"/>
      <c r="AD15" s="39"/>
      <c r="AE15" s="40"/>
      <c r="AF15" s="39"/>
    </row>
    <row r="16" spans="1:32" ht="24" customHeight="1">
      <c r="A16" s="175" t="s">
        <v>121</v>
      </c>
      <c r="B16" s="163" t="s">
        <v>132</v>
      </c>
      <c r="C16" s="244"/>
      <c r="D16" s="238" t="s">
        <v>133</v>
      </c>
      <c r="E16" s="238" t="s">
        <v>133</v>
      </c>
      <c r="F16" s="241"/>
      <c r="G16" s="238" t="s">
        <v>134</v>
      </c>
      <c r="H16" s="204" t="s">
        <v>135</v>
      </c>
      <c r="I16" s="241"/>
      <c r="J16" s="238" t="s">
        <v>136</v>
      </c>
      <c r="K16" s="68"/>
      <c r="L16" s="69"/>
      <c r="M16" s="68"/>
      <c r="N16" s="232"/>
      <c r="O16" s="233"/>
      <c r="P16" s="47"/>
      <c r="Q16" s="48"/>
      <c r="R16" s="235"/>
      <c r="S16" s="47"/>
      <c r="T16" s="48"/>
      <c r="U16" s="234"/>
      <c r="V16" s="233"/>
      <c r="W16" s="47"/>
      <c r="X16" s="234"/>
      <c r="Y16" s="233"/>
      <c r="Z16" s="47"/>
      <c r="AA16" s="234"/>
      <c r="AB16" s="233"/>
      <c r="AC16" s="47"/>
      <c r="AD16" s="39"/>
      <c r="AE16" s="40"/>
      <c r="AF16" s="39"/>
    </row>
    <row r="17" spans="1:32" ht="18.600000000000001" customHeight="1">
      <c r="A17" s="175" t="s">
        <v>125</v>
      </c>
      <c r="B17" s="163" t="s">
        <v>137</v>
      </c>
      <c r="C17" s="246"/>
      <c r="D17" s="239"/>
      <c r="E17" s="239"/>
      <c r="F17" s="242"/>
      <c r="G17" s="239"/>
      <c r="H17" s="204" t="s">
        <v>138</v>
      </c>
      <c r="I17" s="242"/>
      <c r="J17" s="239"/>
      <c r="K17" s="68"/>
      <c r="L17" s="69"/>
      <c r="M17" s="68"/>
      <c r="N17" s="232"/>
      <c r="O17" s="233"/>
      <c r="P17" s="47"/>
      <c r="Q17" s="48"/>
      <c r="R17" s="235"/>
      <c r="S17" s="47"/>
      <c r="T17" s="48"/>
      <c r="U17" s="234"/>
      <c r="V17" s="233"/>
      <c r="W17" s="47"/>
      <c r="X17" s="234"/>
      <c r="Y17" s="233"/>
      <c r="Z17" s="47"/>
      <c r="AA17" s="234"/>
      <c r="AB17" s="233"/>
      <c r="AC17" s="47"/>
      <c r="AD17" s="39"/>
      <c r="AE17" s="40"/>
      <c r="AF17" s="39"/>
    </row>
    <row r="18" spans="1:32" ht="53.45" customHeight="1">
      <c r="A18" s="170" t="s">
        <v>139</v>
      </c>
      <c r="B18" s="188" t="s">
        <v>140</v>
      </c>
      <c r="C18" s="185" t="s">
        <v>141</v>
      </c>
      <c r="D18" s="250"/>
      <c r="E18" s="71" t="s">
        <v>142</v>
      </c>
      <c r="F18" s="71" t="s">
        <v>143</v>
      </c>
      <c r="G18" s="240"/>
      <c r="H18" s="71" t="s">
        <v>144</v>
      </c>
      <c r="I18" s="71" t="s">
        <v>145</v>
      </c>
      <c r="J18" s="240"/>
      <c r="K18" s="68">
        <v>6</v>
      </c>
      <c r="L18" s="69">
        <v>2</v>
      </c>
      <c r="M18" s="68">
        <v>4</v>
      </c>
      <c r="N18" s="232"/>
      <c r="O18" s="233"/>
      <c r="P18" s="48"/>
      <c r="Q18" s="48"/>
      <c r="R18" s="235"/>
      <c r="S18" s="48"/>
      <c r="T18" s="48"/>
      <c r="U18" s="234"/>
      <c r="V18" s="233"/>
      <c r="W18" s="48"/>
      <c r="X18" s="234"/>
      <c r="Y18" s="233"/>
      <c r="Z18" s="48"/>
      <c r="AA18" s="234"/>
      <c r="AB18" s="233"/>
      <c r="AC18" s="48"/>
      <c r="AD18" s="39"/>
      <c r="AE18" s="40"/>
      <c r="AF18" s="39"/>
    </row>
    <row r="19" spans="1:32" ht="24" customHeight="1">
      <c r="A19" s="175" t="s">
        <v>121</v>
      </c>
      <c r="B19" s="182" t="s">
        <v>124</v>
      </c>
      <c r="C19" s="182" t="s">
        <v>136</v>
      </c>
      <c r="D19" s="253"/>
      <c r="E19" s="171" t="s">
        <v>146</v>
      </c>
      <c r="F19" s="238" t="s">
        <v>134</v>
      </c>
      <c r="G19" s="241"/>
      <c r="H19" s="206" t="s">
        <v>147</v>
      </c>
      <c r="I19" s="204" t="s">
        <v>148</v>
      </c>
      <c r="J19" s="241"/>
      <c r="K19" s="68"/>
      <c r="L19" s="69"/>
      <c r="M19" s="68"/>
      <c r="N19" s="232"/>
      <c r="O19" s="233"/>
      <c r="P19" s="47"/>
      <c r="Q19" s="48"/>
      <c r="R19" s="235"/>
      <c r="S19" s="47"/>
      <c r="T19" s="48"/>
      <c r="U19" s="234"/>
      <c r="V19" s="233"/>
      <c r="W19" s="47"/>
      <c r="X19" s="234"/>
      <c r="Y19" s="233"/>
      <c r="Z19" s="47"/>
      <c r="AA19" s="234"/>
      <c r="AB19" s="233"/>
      <c r="AC19" s="47"/>
      <c r="AD19" s="39"/>
      <c r="AE19" s="40"/>
      <c r="AF19" s="39"/>
    </row>
    <row r="20" spans="1:32" ht="18.600000000000001" customHeight="1">
      <c r="A20" s="175" t="s">
        <v>125</v>
      </c>
      <c r="B20" s="182" t="s">
        <v>149</v>
      </c>
      <c r="C20" s="182" t="s">
        <v>150</v>
      </c>
      <c r="D20" s="254"/>
      <c r="E20" s="171" t="s">
        <v>127</v>
      </c>
      <c r="F20" s="239"/>
      <c r="G20" s="242"/>
      <c r="H20" s="206" t="s">
        <v>151</v>
      </c>
      <c r="I20" s="204" t="s">
        <v>152</v>
      </c>
      <c r="J20" s="242"/>
      <c r="K20" s="68"/>
      <c r="L20" s="69"/>
      <c r="M20" s="68"/>
      <c r="N20" s="232"/>
      <c r="O20" s="233"/>
      <c r="P20" s="47"/>
      <c r="Q20" s="48"/>
      <c r="R20" s="235"/>
      <c r="S20" s="47"/>
      <c r="T20" s="48"/>
      <c r="U20" s="234"/>
      <c r="V20" s="233"/>
      <c r="W20" s="47"/>
      <c r="X20" s="234"/>
      <c r="Y20" s="233"/>
      <c r="Z20" s="47"/>
      <c r="AA20" s="234"/>
      <c r="AB20" s="233"/>
      <c r="AC20" s="47"/>
      <c r="AD20" s="39"/>
      <c r="AE20" s="40"/>
      <c r="AF20" s="39"/>
    </row>
    <row r="21" spans="1:32" ht="53.45" customHeight="1">
      <c r="A21" s="170" t="s">
        <v>153</v>
      </c>
      <c r="B21" s="244"/>
      <c r="C21" s="186" t="s">
        <v>154</v>
      </c>
      <c r="D21" s="73" t="s">
        <v>55</v>
      </c>
      <c r="E21" s="240"/>
      <c r="F21" s="71" t="s">
        <v>155</v>
      </c>
      <c r="G21" s="70" t="s">
        <v>57</v>
      </c>
      <c r="H21" s="240"/>
      <c r="I21" s="71" t="s">
        <v>156</v>
      </c>
      <c r="J21" s="70" t="s">
        <v>59</v>
      </c>
      <c r="K21" s="68">
        <v>6</v>
      </c>
      <c r="L21" s="69">
        <v>2</v>
      </c>
      <c r="M21" s="68">
        <v>3</v>
      </c>
      <c r="N21" s="232"/>
      <c r="O21" s="233"/>
      <c r="P21" s="46"/>
      <c r="Q21" s="48"/>
      <c r="R21" s="235"/>
      <c r="S21" s="46"/>
      <c r="T21" s="48"/>
      <c r="U21" s="234"/>
      <c r="V21" s="233"/>
      <c r="W21" s="46"/>
      <c r="X21" s="234"/>
      <c r="Y21" s="233"/>
      <c r="Z21" s="46"/>
      <c r="AA21" s="234"/>
      <c r="AB21" s="233"/>
      <c r="AC21" s="46"/>
      <c r="AD21" s="39"/>
      <c r="AE21" s="40"/>
      <c r="AF21" s="39"/>
    </row>
    <row r="22" spans="1:32" ht="24" customHeight="1">
      <c r="A22" s="171" t="s">
        <v>121</v>
      </c>
      <c r="B22" s="244"/>
      <c r="C22" s="204" t="s">
        <v>157</v>
      </c>
      <c r="D22" s="236" t="s">
        <v>149</v>
      </c>
      <c r="E22" s="241"/>
      <c r="F22" s="204" t="s">
        <v>158</v>
      </c>
      <c r="G22" s="236" t="s">
        <v>159</v>
      </c>
      <c r="H22" s="241"/>
      <c r="I22" s="204" t="s">
        <v>157</v>
      </c>
      <c r="J22" s="236" t="s">
        <v>160</v>
      </c>
      <c r="K22" s="68"/>
      <c r="L22" s="69"/>
      <c r="M22" s="68"/>
      <c r="N22" s="232"/>
      <c r="O22" s="233"/>
      <c r="P22" s="47"/>
      <c r="Q22" s="48"/>
      <c r="R22" s="235"/>
      <c r="S22" s="47"/>
      <c r="T22" s="48"/>
      <c r="U22" s="234"/>
      <c r="V22" s="233"/>
      <c r="W22" s="47"/>
      <c r="X22" s="234"/>
      <c r="Y22" s="233"/>
      <c r="Z22" s="47"/>
      <c r="AA22" s="234"/>
      <c r="AB22" s="233"/>
      <c r="AC22" s="47"/>
      <c r="AD22" s="39"/>
      <c r="AE22" s="40"/>
      <c r="AF22" s="39"/>
    </row>
    <row r="23" spans="1:32" ht="18.600000000000001" customHeight="1">
      <c r="A23" s="171" t="s">
        <v>125</v>
      </c>
      <c r="B23" s="246"/>
      <c r="C23" s="204" t="s">
        <v>161</v>
      </c>
      <c r="D23" s="237"/>
      <c r="E23" s="242"/>
      <c r="F23" s="204" t="s">
        <v>151</v>
      </c>
      <c r="G23" s="237"/>
      <c r="H23" s="242"/>
      <c r="I23" s="204" t="s">
        <v>149</v>
      </c>
      <c r="J23" s="237"/>
      <c r="K23" s="68"/>
      <c r="L23" s="69"/>
      <c r="M23" s="68"/>
      <c r="N23" s="232"/>
      <c r="O23" s="233"/>
      <c r="P23" s="47"/>
      <c r="Q23" s="48"/>
      <c r="R23" s="235"/>
      <c r="S23" s="47"/>
      <c r="T23" s="48"/>
      <c r="U23" s="234"/>
      <c r="V23" s="233"/>
      <c r="W23" s="47"/>
      <c r="X23" s="234"/>
      <c r="Y23" s="233"/>
      <c r="Z23" s="47"/>
      <c r="AA23" s="234"/>
      <c r="AB23" s="233"/>
      <c r="AC23" s="47"/>
      <c r="AD23" s="39"/>
      <c r="AE23" s="40"/>
      <c r="AF23" s="39"/>
    </row>
    <row r="24" spans="1:32" ht="96" customHeight="1">
      <c r="A24" s="170" t="s">
        <v>162</v>
      </c>
      <c r="B24" s="179" t="s">
        <v>163</v>
      </c>
      <c r="C24" s="179" t="s">
        <v>164</v>
      </c>
      <c r="D24" s="177" t="s">
        <v>165</v>
      </c>
      <c r="E24" s="179" t="s">
        <v>166</v>
      </c>
      <c r="F24" s="179" t="s">
        <v>167</v>
      </c>
      <c r="G24" s="178" t="s">
        <v>168</v>
      </c>
      <c r="H24" s="179" t="s">
        <v>169</v>
      </c>
      <c r="I24" s="179" t="s">
        <v>170</v>
      </c>
      <c r="J24" s="178" t="s">
        <v>171</v>
      </c>
      <c r="K24" s="68">
        <v>9</v>
      </c>
      <c r="L24" s="69">
        <v>4</v>
      </c>
      <c r="M24" s="68">
        <v>11</v>
      </c>
      <c r="N24" s="232"/>
      <c r="O24" s="233"/>
      <c r="P24" s="49"/>
      <c r="Q24" s="49"/>
      <c r="R24" s="235"/>
      <c r="S24" s="49"/>
      <c r="T24" s="49"/>
      <c r="U24" s="234"/>
      <c r="V24" s="233"/>
      <c r="W24" s="49"/>
      <c r="X24" s="234"/>
      <c r="Y24" s="233"/>
      <c r="Z24" s="49"/>
      <c r="AA24" s="234"/>
      <c r="AB24" s="233"/>
      <c r="AC24" s="49"/>
      <c r="AD24" s="39"/>
      <c r="AE24" s="40"/>
      <c r="AF24" s="39"/>
    </row>
    <row r="25" spans="1:32" ht="24" customHeight="1">
      <c r="A25" s="175" t="s">
        <v>121</v>
      </c>
      <c r="B25" s="181" t="s">
        <v>172</v>
      </c>
      <c r="C25" s="181" t="s">
        <v>172</v>
      </c>
      <c r="D25" s="182" t="s">
        <v>158</v>
      </c>
      <c r="E25" s="182" t="s">
        <v>173</v>
      </c>
      <c r="F25" s="182" t="s">
        <v>174</v>
      </c>
      <c r="G25" s="182" t="s">
        <v>158</v>
      </c>
      <c r="H25" s="181" t="s">
        <v>175</v>
      </c>
      <c r="I25" s="182" t="s">
        <v>176</v>
      </c>
      <c r="J25" s="182" t="s">
        <v>157</v>
      </c>
      <c r="K25" s="176"/>
      <c r="L25" s="69"/>
      <c r="M25" s="68"/>
      <c r="N25" s="232"/>
      <c r="O25" s="233"/>
      <c r="P25" s="47"/>
      <c r="Q25" s="48"/>
      <c r="R25" s="235"/>
      <c r="S25" s="47"/>
      <c r="T25" s="48"/>
      <c r="U25" s="234"/>
      <c r="V25" s="233"/>
      <c r="W25" s="47"/>
      <c r="X25" s="234"/>
      <c r="Y25" s="233"/>
      <c r="Z25" s="47"/>
      <c r="AA25" s="234"/>
      <c r="AB25" s="233"/>
      <c r="AC25" s="47"/>
      <c r="AD25" s="39"/>
      <c r="AE25" s="40"/>
      <c r="AF25" s="39"/>
    </row>
    <row r="26" spans="1:32" ht="21.75" customHeight="1">
      <c r="A26" s="175" t="s">
        <v>125</v>
      </c>
      <c r="B26" s="182" t="s">
        <v>177</v>
      </c>
      <c r="C26" s="182" t="s">
        <v>177</v>
      </c>
      <c r="D26" s="182" t="s">
        <v>177</v>
      </c>
      <c r="E26" s="211" t="s">
        <v>178</v>
      </c>
      <c r="F26" s="182" t="s">
        <v>179</v>
      </c>
      <c r="G26" s="207" t="s">
        <v>180</v>
      </c>
      <c r="H26" s="182" t="s">
        <v>181</v>
      </c>
      <c r="I26" s="182" t="s">
        <v>177</v>
      </c>
      <c r="J26" s="182" t="s">
        <v>177</v>
      </c>
      <c r="K26" s="176"/>
      <c r="L26" s="69"/>
      <c r="M26" s="68"/>
      <c r="N26" s="232"/>
      <c r="O26" s="233"/>
      <c r="P26" s="47"/>
      <c r="Q26" s="48"/>
      <c r="R26" s="235"/>
      <c r="S26" s="47"/>
      <c r="T26" s="48"/>
      <c r="U26" s="234"/>
      <c r="V26" s="233"/>
      <c r="W26" s="47"/>
      <c r="X26" s="234"/>
      <c r="Y26" s="233"/>
      <c r="Z26" s="47"/>
      <c r="AA26" s="234"/>
      <c r="AB26" s="233"/>
      <c r="AC26" s="47"/>
      <c r="AD26" s="39"/>
      <c r="AE26" s="40"/>
      <c r="AF26" s="39"/>
    </row>
    <row r="27" spans="1:32" ht="53.45" customHeight="1">
      <c r="A27" s="170" t="s">
        <v>182</v>
      </c>
      <c r="B27" s="243"/>
      <c r="C27" s="244"/>
      <c r="D27" s="180" t="s">
        <v>183</v>
      </c>
      <c r="E27" s="247"/>
      <c r="F27" s="244"/>
      <c r="G27" s="172" t="s">
        <v>184</v>
      </c>
      <c r="H27" s="247"/>
      <c r="I27" s="244"/>
      <c r="J27" s="172" t="s">
        <v>185</v>
      </c>
      <c r="K27" s="68">
        <v>3</v>
      </c>
      <c r="L27" s="69">
        <v>3</v>
      </c>
      <c r="M27" s="68">
        <v>3</v>
      </c>
      <c r="N27" s="232"/>
      <c r="O27" s="233"/>
      <c r="P27" s="46"/>
      <c r="Q27" s="46"/>
      <c r="R27" s="235"/>
      <c r="S27" s="46"/>
      <c r="T27" s="46"/>
      <c r="U27" s="234"/>
      <c r="V27" s="233"/>
      <c r="W27" s="46"/>
      <c r="X27" s="234"/>
      <c r="Y27" s="233"/>
      <c r="Z27" s="46"/>
      <c r="AA27" s="234"/>
      <c r="AB27" s="233"/>
      <c r="AC27" s="46"/>
      <c r="AD27" s="39"/>
      <c r="AE27" s="40"/>
      <c r="AF27" s="39"/>
    </row>
    <row r="28" spans="1:32" ht="24" customHeight="1">
      <c r="A28" s="171" t="s">
        <v>121</v>
      </c>
      <c r="B28" s="243"/>
      <c r="C28" s="244"/>
      <c r="D28" s="166" t="s">
        <v>186</v>
      </c>
      <c r="E28" s="247"/>
      <c r="F28" s="244"/>
      <c r="G28" s="166" t="s">
        <v>186</v>
      </c>
      <c r="H28" s="247"/>
      <c r="I28" s="244"/>
      <c r="J28" s="166" t="s">
        <v>187</v>
      </c>
      <c r="K28" s="68"/>
      <c r="L28" s="69"/>
      <c r="M28" s="68"/>
      <c r="N28" s="232"/>
      <c r="O28" s="233"/>
      <c r="P28" s="47"/>
      <c r="Q28" s="48"/>
      <c r="R28" s="235"/>
      <c r="S28" s="47"/>
      <c r="T28" s="48"/>
      <c r="U28" s="234"/>
      <c r="V28" s="233"/>
      <c r="W28" s="47"/>
      <c r="X28" s="234"/>
      <c r="Y28" s="233"/>
      <c r="Z28" s="47"/>
      <c r="AA28" s="234"/>
      <c r="AB28" s="233"/>
      <c r="AC28" s="47"/>
      <c r="AD28" s="39"/>
      <c r="AE28" s="40"/>
      <c r="AF28" s="39"/>
    </row>
    <row r="29" spans="1:32" ht="18.600000000000001" customHeight="1">
      <c r="A29" s="171" t="s">
        <v>125</v>
      </c>
      <c r="B29" s="245"/>
      <c r="C29" s="246"/>
      <c r="D29" s="166" t="s">
        <v>188</v>
      </c>
      <c r="E29" s="248"/>
      <c r="F29" s="246"/>
      <c r="G29" s="166" t="s">
        <v>188</v>
      </c>
      <c r="H29" s="248"/>
      <c r="I29" s="246"/>
      <c r="J29" s="166" t="s">
        <v>189</v>
      </c>
      <c r="K29" s="68"/>
      <c r="L29" s="69"/>
      <c r="M29" s="68"/>
      <c r="N29" s="232"/>
      <c r="O29" s="233"/>
      <c r="P29" s="47"/>
      <c r="Q29" s="48"/>
      <c r="R29" s="235"/>
      <c r="S29" s="47"/>
      <c r="T29" s="48"/>
      <c r="U29" s="234"/>
      <c r="V29" s="233"/>
      <c r="W29" s="47"/>
      <c r="X29" s="234"/>
      <c r="Y29" s="233"/>
      <c r="Z29" s="47"/>
      <c r="AA29" s="234"/>
      <c r="AB29" s="233"/>
      <c r="AC29" s="47"/>
      <c r="AD29" s="39"/>
      <c r="AE29" s="40"/>
      <c r="AF29" s="39"/>
    </row>
    <row r="30" spans="1:32" ht="96.75" customHeight="1">
      <c r="A30" s="85" t="s">
        <v>190</v>
      </c>
      <c r="B30" s="179" t="s">
        <v>191</v>
      </c>
      <c r="C30" s="179" t="s">
        <v>192</v>
      </c>
      <c r="D30" s="183" t="s">
        <v>193</v>
      </c>
      <c r="E30" s="184" t="s">
        <v>194</v>
      </c>
      <c r="F30" s="179" t="s">
        <v>195</v>
      </c>
      <c r="G30" s="185" t="s">
        <v>196</v>
      </c>
      <c r="H30" s="179" t="s">
        <v>197</v>
      </c>
      <c r="I30" s="179" t="s">
        <v>198</v>
      </c>
      <c r="J30" s="185" t="s">
        <v>199</v>
      </c>
      <c r="K30" s="68">
        <v>9</v>
      </c>
      <c r="L30" s="69">
        <v>5</v>
      </c>
      <c r="M30" s="68">
        <v>10</v>
      </c>
      <c r="N30" s="232"/>
      <c r="O30" s="233"/>
      <c r="P30" s="49"/>
      <c r="Q30" s="49"/>
      <c r="R30" s="235"/>
      <c r="S30" s="49"/>
      <c r="T30" s="49"/>
      <c r="U30" s="234"/>
      <c r="V30" s="233"/>
      <c r="W30" s="49"/>
      <c r="X30" s="234"/>
      <c r="Y30" s="233"/>
      <c r="Z30" s="49"/>
      <c r="AA30" s="234"/>
      <c r="AB30" s="233"/>
      <c r="AC30" s="49"/>
      <c r="AD30" s="39"/>
      <c r="AE30" s="40"/>
      <c r="AF30" s="39"/>
    </row>
    <row r="31" spans="1:32" ht="24" customHeight="1">
      <c r="A31" s="171" t="s">
        <v>121</v>
      </c>
      <c r="B31" s="182" t="s">
        <v>200</v>
      </c>
      <c r="C31" s="182" t="s">
        <v>201</v>
      </c>
      <c r="D31" s="207" t="s">
        <v>202</v>
      </c>
      <c r="E31" s="208" t="s">
        <v>202</v>
      </c>
      <c r="F31" s="207" t="s">
        <v>202</v>
      </c>
      <c r="G31" s="207" t="s">
        <v>202</v>
      </c>
      <c r="H31" s="207" t="s">
        <v>203</v>
      </c>
      <c r="I31" s="182" t="s">
        <v>201</v>
      </c>
      <c r="J31" s="182" t="s">
        <v>201</v>
      </c>
      <c r="K31" s="176"/>
      <c r="L31" s="69"/>
      <c r="M31" s="68"/>
      <c r="N31" s="232"/>
      <c r="O31" s="233"/>
      <c r="P31" s="47"/>
      <c r="Q31" s="48"/>
      <c r="R31" s="235"/>
      <c r="S31" s="47"/>
      <c r="T31" s="48"/>
      <c r="U31" s="234"/>
      <c r="V31" s="233"/>
      <c r="W31" s="47"/>
      <c r="X31" s="234"/>
      <c r="Y31" s="233"/>
      <c r="Z31" s="47"/>
      <c r="AA31" s="234"/>
      <c r="AB31" s="233"/>
      <c r="AC31" s="47"/>
      <c r="AD31" s="39"/>
      <c r="AE31" s="40"/>
      <c r="AF31" s="39"/>
    </row>
    <row r="32" spans="1:32" ht="18.600000000000001" customHeight="1">
      <c r="A32" s="171" t="s">
        <v>125</v>
      </c>
      <c r="B32" s="182" t="s">
        <v>204</v>
      </c>
      <c r="C32" s="182" t="s">
        <v>205</v>
      </c>
      <c r="D32" s="207" t="s">
        <v>206</v>
      </c>
      <c r="E32" s="207" t="s">
        <v>206</v>
      </c>
      <c r="F32" s="182" t="s">
        <v>205</v>
      </c>
      <c r="G32" s="182" t="s">
        <v>205</v>
      </c>
      <c r="H32" s="207" t="s">
        <v>188</v>
      </c>
      <c r="I32" s="182" t="s">
        <v>204</v>
      </c>
      <c r="J32" s="182" t="s">
        <v>204</v>
      </c>
      <c r="K32" s="176"/>
      <c r="L32" s="69"/>
      <c r="M32" s="68"/>
      <c r="N32" s="232"/>
      <c r="O32" s="233"/>
      <c r="P32" s="47"/>
      <c r="Q32" s="48"/>
      <c r="R32" s="235"/>
      <c r="S32" s="47"/>
      <c r="T32" s="48"/>
      <c r="U32" s="234"/>
      <c r="V32" s="233"/>
      <c r="W32" s="47"/>
      <c r="X32" s="234"/>
      <c r="Y32" s="233"/>
      <c r="Z32" s="47"/>
      <c r="AA32" s="234"/>
      <c r="AB32" s="233"/>
      <c r="AC32" s="47"/>
      <c r="AD32" s="39"/>
      <c r="AE32" s="40"/>
      <c r="AF32" s="39"/>
    </row>
    <row r="33" spans="1:32" ht="53.45" customHeight="1">
      <c r="A33" s="64" t="s">
        <v>207</v>
      </c>
      <c r="B33" s="243"/>
      <c r="C33" s="244"/>
      <c r="D33" s="180" t="s">
        <v>208</v>
      </c>
      <c r="E33" s="247"/>
      <c r="F33" s="244"/>
      <c r="G33" s="172" t="s">
        <v>209</v>
      </c>
      <c r="H33" s="247"/>
      <c r="I33" s="244"/>
      <c r="J33" s="172" t="s">
        <v>210</v>
      </c>
      <c r="K33" s="68">
        <v>3</v>
      </c>
      <c r="L33" s="69">
        <v>3</v>
      </c>
      <c r="M33" s="68">
        <v>3</v>
      </c>
      <c r="N33" s="232"/>
      <c r="O33" s="233"/>
      <c r="P33" s="46"/>
      <c r="Q33" s="46"/>
      <c r="R33" s="235"/>
      <c r="S33" s="46"/>
      <c r="T33" s="46"/>
      <c r="U33" s="234"/>
      <c r="V33" s="233"/>
      <c r="W33" s="46"/>
      <c r="X33" s="234"/>
      <c r="Y33" s="233"/>
      <c r="Z33" s="46"/>
      <c r="AA33" s="234"/>
      <c r="AB33" s="233"/>
      <c r="AC33" s="46"/>
      <c r="AD33" s="39"/>
      <c r="AE33" s="40"/>
      <c r="AF33" s="39"/>
    </row>
    <row r="34" spans="1:32" ht="24" customHeight="1">
      <c r="A34" s="171" t="s">
        <v>121</v>
      </c>
      <c r="B34" s="243"/>
      <c r="C34" s="244"/>
      <c r="D34" s="205" t="s">
        <v>203</v>
      </c>
      <c r="E34" s="247"/>
      <c r="F34" s="244"/>
      <c r="G34" s="205" t="s">
        <v>203</v>
      </c>
      <c r="H34" s="247"/>
      <c r="I34" s="244"/>
      <c r="J34" s="205" t="s">
        <v>211</v>
      </c>
      <c r="K34" s="68"/>
      <c r="L34" s="69"/>
      <c r="M34" s="68"/>
      <c r="N34" s="232"/>
      <c r="O34" s="233"/>
      <c r="P34" s="47"/>
      <c r="Q34" s="48"/>
      <c r="R34" s="235"/>
      <c r="S34" s="47"/>
      <c r="T34" s="48"/>
      <c r="U34" s="234"/>
      <c r="V34" s="233"/>
      <c r="W34" s="47"/>
      <c r="X34" s="234"/>
      <c r="Y34" s="233"/>
      <c r="Z34" s="47"/>
      <c r="AA34" s="234"/>
      <c r="AB34" s="233"/>
      <c r="AC34" s="47"/>
      <c r="AD34" s="39"/>
      <c r="AE34" s="40"/>
      <c r="AF34" s="39"/>
    </row>
    <row r="35" spans="1:32" ht="18.600000000000001" customHeight="1">
      <c r="A35" s="171" t="s">
        <v>125</v>
      </c>
      <c r="B35" s="245"/>
      <c r="C35" s="246"/>
      <c r="D35" s="205" t="s">
        <v>212</v>
      </c>
      <c r="E35" s="248"/>
      <c r="F35" s="246"/>
      <c r="G35" s="187" t="s">
        <v>213</v>
      </c>
      <c r="H35" s="248"/>
      <c r="I35" s="246"/>
      <c r="J35" s="209" t="s">
        <v>152</v>
      </c>
      <c r="K35" s="68"/>
      <c r="L35" s="69"/>
      <c r="M35" s="68"/>
      <c r="N35" s="232"/>
      <c r="O35" s="233"/>
      <c r="P35" s="47"/>
      <c r="Q35" s="48"/>
      <c r="R35" s="235"/>
      <c r="S35" s="47"/>
      <c r="T35" s="48"/>
      <c r="U35" s="234"/>
      <c r="V35" s="233"/>
      <c r="W35" s="47"/>
      <c r="X35" s="234"/>
      <c r="Y35" s="233"/>
      <c r="Z35" s="47"/>
      <c r="AA35" s="234"/>
      <c r="AB35" s="233"/>
      <c r="AC35" s="47"/>
      <c r="AD35" s="39"/>
      <c r="AE35" s="40"/>
      <c r="AF35" s="39"/>
    </row>
    <row r="36" spans="1:32" s="63" customFormat="1" ht="54.75" customHeight="1">
      <c r="A36" s="77" t="s">
        <v>88</v>
      </c>
      <c r="B36" s="78" t="s">
        <v>89</v>
      </c>
      <c r="C36" s="78" t="s">
        <v>89</v>
      </c>
      <c r="D36" s="79" t="s">
        <v>90</v>
      </c>
      <c r="E36" s="78" t="s">
        <v>89</v>
      </c>
      <c r="F36" s="78" t="s">
        <v>89</v>
      </c>
      <c r="G36" s="79" t="s">
        <v>90</v>
      </c>
      <c r="H36" s="78" t="s">
        <v>89</v>
      </c>
      <c r="I36" s="78" t="s">
        <v>89</v>
      </c>
      <c r="J36" s="79" t="s">
        <v>90</v>
      </c>
      <c r="K36" s="80">
        <v>57</v>
      </c>
      <c r="L36" s="80">
        <v>5</v>
      </c>
      <c r="M36" s="80">
        <v>48</v>
      </c>
      <c r="N36" s="232"/>
      <c r="O36" s="233"/>
      <c r="P36" s="62"/>
      <c r="Q36" s="62"/>
      <c r="R36" s="235"/>
      <c r="S36" s="62"/>
      <c r="T36" s="62"/>
      <c r="U36" s="234"/>
      <c r="V36" s="233"/>
      <c r="W36" s="62"/>
      <c r="X36" s="234"/>
      <c r="Y36" s="233"/>
      <c r="Z36" s="62"/>
      <c r="AA36" s="234"/>
      <c r="AB36" s="233"/>
      <c r="AC36" s="62"/>
      <c r="AD36" s="62"/>
      <c r="AE36" s="62"/>
      <c r="AF36" s="62"/>
    </row>
    <row r="37" spans="1:32" ht="61.5" customHeight="1">
      <c r="A37" s="201" t="s">
        <v>214</v>
      </c>
      <c r="B37" s="210" t="s">
        <v>215</v>
      </c>
      <c r="C37" s="210" t="s">
        <v>216</v>
      </c>
      <c r="D37" s="210" t="s">
        <v>217</v>
      </c>
      <c r="E37" s="210"/>
      <c r="F37" s="210"/>
      <c r="G37" s="210"/>
      <c r="H37" s="210"/>
      <c r="I37" s="210"/>
      <c r="J37" s="210"/>
    </row>
    <row r="38" spans="1:32">
      <c r="A38" s="56"/>
    </row>
    <row r="40" spans="1:32" ht="15.6">
      <c r="A40" s="256" t="s">
        <v>218</v>
      </c>
      <c r="B40" s="256"/>
      <c r="C40" s="256"/>
      <c r="D40" s="257" t="s">
        <v>219</v>
      </c>
      <c r="E40" s="257"/>
      <c r="F40" s="257"/>
      <c r="G40" s="258" t="s">
        <v>220</v>
      </c>
      <c r="H40" s="258"/>
      <c r="I40" s="258"/>
      <c r="J40" s="259" t="s">
        <v>221</v>
      </c>
      <c r="K40" s="259"/>
      <c r="L40" s="260"/>
    </row>
    <row r="41" spans="1:32" ht="15.6">
      <c r="A41" s="261">
        <v>1</v>
      </c>
      <c r="B41" s="263">
        <v>0.45833333333333331</v>
      </c>
      <c r="C41" s="264"/>
      <c r="D41" s="266">
        <v>0.45833333333333331</v>
      </c>
      <c r="E41" s="267"/>
      <c r="F41" s="267"/>
      <c r="G41" s="268">
        <v>0.64583333333333337</v>
      </c>
      <c r="H41" s="268"/>
      <c r="I41" s="268"/>
      <c r="J41" s="269">
        <v>0.83333333333333337</v>
      </c>
      <c r="K41" s="269"/>
      <c r="L41" s="270"/>
    </row>
    <row r="42" spans="1:32" ht="15.6">
      <c r="A42" s="262"/>
      <c r="B42" s="265"/>
      <c r="C42" s="265"/>
      <c r="D42" s="266">
        <v>0.47916666666666669</v>
      </c>
      <c r="E42" s="267"/>
      <c r="F42" s="267"/>
      <c r="G42" s="268">
        <v>0.66666666666666663</v>
      </c>
      <c r="H42" s="268"/>
      <c r="I42" s="268"/>
      <c r="J42" s="269">
        <v>0.85416666666666663</v>
      </c>
      <c r="K42" s="269"/>
      <c r="L42" s="270"/>
    </row>
    <row r="43" spans="1:32" ht="15.6">
      <c r="A43" s="262">
        <v>2</v>
      </c>
      <c r="B43" s="271">
        <v>0.5</v>
      </c>
      <c r="C43" s="265"/>
      <c r="D43" s="266">
        <v>0.5</v>
      </c>
      <c r="E43" s="267"/>
      <c r="F43" s="267"/>
      <c r="G43" s="268">
        <v>0.6875</v>
      </c>
      <c r="H43" s="268"/>
      <c r="I43" s="268"/>
      <c r="J43" s="269">
        <v>0.875</v>
      </c>
      <c r="K43" s="269"/>
      <c r="L43" s="270"/>
    </row>
    <row r="44" spans="1:32" ht="15.6">
      <c r="A44" s="262"/>
      <c r="B44" s="265"/>
      <c r="C44" s="265"/>
      <c r="D44" s="266">
        <v>0.52083333333333337</v>
      </c>
      <c r="E44" s="267"/>
      <c r="F44" s="267"/>
      <c r="G44" s="268">
        <v>0.70833333333333337</v>
      </c>
      <c r="H44" s="268"/>
      <c r="I44" s="268"/>
      <c r="J44" s="269">
        <v>0.89583333333333337</v>
      </c>
      <c r="K44" s="269"/>
      <c r="L44" s="270"/>
    </row>
    <row r="45" spans="1:32" ht="15.6">
      <c r="A45" s="262">
        <v>3</v>
      </c>
      <c r="B45" s="271">
        <v>0.54166666666666663</v>
      </c>
      <c r="C45" s="265"/>
      <c r="D45" s="266">
        <v>0.54166666666666663</v>
      </c>
      <c r="E45" s="267"/>
      <c r="F45" s="267"/>
      <c r="G45" s="268">
        <v>0.72916666666666663</v>
      </c>
      <c r="H45" s="268"/>
      <c r="I45" s="268"/>
      <c r="J45" s="269">
        <v>0.91666666666666663</v>
      </c>
      <c r="K45" s="269"/>
      <c r="L45" s="270"/>
    </row>
    <row r="46" spans="1:32" ht="15.6">
      <c r="A46" s="262"/>
      <c r="B46" s="265"/>
      <c r="C46" s="265"/>
      <c r="D46" s="266">
        <v>0.5625</v>
      </c>
      <c r="E46" s="267"/>
      <c r="F46" s="267"/>
      <c r="G46" s="268">
        <v>0.75</v>
      </c>
      <c r="H46" s="268"/>
      <c r="I46" s="268"/>
      <c r="J46" s="269">
        <v>0.9375</v>
      </c>
      <c r="K46" s="269"/>
      <c r="L46" s="270"/>
    </row>
    <row r="47" spans="1:32" ht="15.6">
      <c r="A47" s="262">
        <v>4</v>
      </c>
      <c r="B47" s="271">
        <v>0.58333333333333337</v>
      </c>
      <c r="C47" s="265"/>
      <c r="D47" s="266">
        <v>0.58333333333333337</v>
      </c>
      <c r="E47" s="267"/>
      <c r="F47" s="267"/>
      <c r="G47" s="268">
        <v>0.77083333333333337</v>
      </c>
      <c r="H47" s="268"/>
      <c r="I47" s="268"/>
      <c r="J47" s="269">
        <v>0.95833333333333337</v>
      </c>
      <c r="K47" s="269"/>
      <c r="L47" s="270"/>
    </row>
    <row r="48" spans="1:32" ht="15.6">
      <c r="A48" s="262"/>
      <c r="B48" s="265"/>
      <c r="C48" s="265"/>
      <c r="D48" s="266">
        <v>0.60416666666666663</v>
      </c>
      <c r="E48" s="267"/>
      <c r="F48" s="267"/>
      <c r="G48" s="268">
        <v>0.79166666666666663</v>
      </c>
      <c r="H48" s="268"/>
      <c r="I48" s="268"/>
      <c r="J48" s="269">
        <v>0.97916666666666663</v>
      </c>
      <c r="K48" s="269"/>
      <c r="L48" s="270"/>
    </row>
  </sheetData>
  <mergeCells count="91">
    <mergeCell ref="A47:A48"/>
    <mergeCell ref="B47:C48"/>
    <mergeCell ref="D47:F47"/>
    <mergeCell ref="G47:I47"/>
    <mergeCell ref="J47:L47"/>
    <mergeCell ref="D48:F48"/>
    <mergeCell ref="G48:I48"/>
    <mergeCell ref="J48:L48"/>
    <mergeCell ref="A45:A46"/>
    <mergeCell ref="B45:C46"/>
    <mergeCell ref="D45:F45"/>
    <mergeCell ref="G45:I45"/>
    <mergeCell ref="J45:L45"/>
    <mergeCell ref="D46:F46"/>
    <mergeCell ref="G46:I46"/>
    <mergeCell ref="J46:L46"/>
    <mergeCell ref="A43:A44"/>
    <mergeCell ref="B43:C44"/>
    <mergeCell ref="D43:F43"/>
    <mergeCell ref="G43:I43"/>
    <mergeCell ref="J43:L43"/>
    <mergeCell ref="D44:F44"/>
    <mergeCell ref="G44:I44"/>
    <mergeCell ref="J44:L44"/>
    <mergeCell ref="A40:C40"/>
    <mergeCell ref="D40:F40"/>
    <mergeCell ref="G40:I40"/>
    <mergeCell ref="J40:L40"/>
    <mergeCell ref="A41:A42"/>
    <mergeCell ref="B41:C42"/>
    <mergeCell ref="D41:F41"/>
    <mergeCell ref="G41:I41"/>
    <mergeCell ref="J41:L41"/>
    <mergeCell ref="D42:F42"/>
    <mergeCell ref="G42:I42"/>
    <mergeCell ref="J42:L42"/>
    <mergeCell ref="C6:D8"/>
    <mergeCell ref="F6:G8"/>
    <mergeCell ref="E10:E11"/>
    <mergeCell ref="B10:B11"/>
    <mergeCell ref="I6:J8"/>
    <mergeCell ref="J9:J11"/>
    <mergeCell ref="G9:G11"/>
    <mergeCell ref="H10:H11"/>
    <mergeCell ref="B21:B23"/>
    <mergeCell ref="E21:E23"/>
    <mergeCell ref="H21:H23"/>
    <mergeCell ref="B12:B14"/>
    <mergeCell ref="D9:D11"/>
    <mergeCell ref="H12:H14"/>
    <mergeCell ref="E12:E14"/>
    <mergeCell ref="C15:C17"/>
    <mergeCell ref="D18:D20"/>
    <mergeCell ref="B27:C29"/>
    <mergeCell ref="E27:F29"/>
    <mergeCell ref="H27:I29"/>
    <mergeCell ref="B33:C35"/>
    <mergeCell ref="E33:F35"/>
    <mergeCell ref="H33:I35"/>
    <mergeCell ref="J22:J23"/>
    <mergeCell ref="J16:J17"/>
    <mergeCell ref="G16:G17"/>
    <mergeCell ref="E16:E17"/>
    <mergeCell ref="D16:D17"/>
    <mergeCell ref="G18:G20"/>
    <mergeCell ref="J18:J20"/>
    <mergeCell ref="I15:I17"/>
    <mergeCell ref="F15:F17"/>
    <mergeCell ref="D22:D23"/>
    <mergeCell ref="G22:G23"/>
    <mergeCell ref="F19:F20"/>
    <mergeCell ref="AA4:AB4"/>
    <mergeCell ref="N6:O36"/>
    <mergeCell ref="R6:R36"/>
    <mergeCell ref="U6:V36"/>
    <mergeCell ref="X6:Y36"/>
    <mergeCell ref="AA6:AB36"/>
    <mergeCell ref="X4:Y4"/>
    <mergeCell ref="A4:J4"/>
    <mergeCell ref="N4:O4"/>
    <mergeCell ref="P4:Q4"/>
    <mergeCell ref="S4:T4"/>
    <mergeCell ref="U4:V4"/>
    <mergeCell ref="A1:M1"/>
    <mergeCell ref="A2:AF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  <pageSetup paperSize="8"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2FB6-F81B-4514-8467-104A54BC1B52}">
  <sheetPr>
    <tabColor rgb="FF7030A0"/>
  </sheetPr>
  <dimension ref="A1:M146"/>
  <sheetViews>
    <sheetView tabSelected="1" topLeftCell="B1" zoomScale="80" zoomScaleNormal="80" workbookViewId="0">
      <selection activeCell="F17" sqref="F17"/>
    </sheetView>
  </sheetViews>
  <sheetFormatPr defaultRowHeight="14.45"/>
  <cols>
    <col min="1" max="1" width="29.85546875" bestFit="1" customWidth="1"/>
    <col min="2" max="2" width="41.140625" style="98" customWidth="1"/>
    <col min="3" max="3" width="31" style="55" customWidth="1"/>
    <col min="4" max="4" width="10.140625" style="98" customWidth="1"/>
    <col min="5" max="5" width="10.28515625" style="98" customWidth="1"/>
    <col min="6" max="6" width="16.5703125" style="55" customWidth="1"/>
    <col min="7" max="7" width="14.5703125" style="55" customWidth="1"/>
    <col min="8" max="8" width="10.7109375" style="98" customWidth="1"/>
    <col min="9" max="9" width="10.28515625" style="98" customWidth="1"/>
    <col min="10" max="10" width="9.140625" style="55"/>
    <col min="11" max="11" width="8.7109375" style="168"/>
    <col min="12" max="12" width="8.7109375" style="55"/>
    <col min="13" max="13" width="18.28515625" style="98" customWidth="1"/>
  </cols>
  <sheetData>
    <row r="1" spans="1:13" s="100" customFormat="1" ht="32.25" customHeight="1">
      <c r="A1" s="212" t="s">
        <v>222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s="63" customFormat="1" ht="48" customHeight="1">
      <c r="A2" s="105" t="s">
        <v>223</v>
      </c>
      <c r="B2" s="106" t="s">
        <v>224</v>
      </c>
      <c r="C2" s="106" t="s">
        <v>225</v>
      </c>
      <c r="D2" s="106" t="s">
        <v>226</v>
      </c>
      <c r="E2" s="106" t="s">
        <v>227</v>
      </c>
      <c r="F2" s="106" t="s">
        <v>228</v>
      </c>
      <c r="G2" s="106" t="s">
        <v>229</v>
      </c>
      <c r="H2" s="106" t="s">
        <v>230</v>
      </c>
      <c r="I2" s="106" t="s">
        <v>231</v>
      </c>
      <c r="J2" s="106" t="s">
        <v>232</v>
      </c>
      <c r="K2" s="169" t="s">
        <v>233</v>
      </c>
      <c r="L2" s="106" t="s">
        <v>234</v>
      </c>
      <c r="M2" s="106" t="s">
        <v>235</v>
      </c>
    </row>
    <row r="3" spans="1:13">
      <c r="A3" s="108" t="s">
        <v>236</v>
      </c>
      <c r="B3" s="109" t="s">
        <v>237</v>
      </c>
      <c r="C3" s="110">
        <v>46345</v>
      </c>
      <c r="D3" s="109" t="s">
        <v>238</v>
      </c>
      <c r="E3" s="109">
        <v>1</v>
      </c>
      <c r="F3" s="111" t="s">
        <v>239</v>
      </c>
      <c r="G3" s="111" t="s">
        <v>240</v>
      </c>
      <c r="H3" s="112">
        <v>0.5</v>
      </c>
      <c r="I3" s="112">
        <v>0.6875</v>
      </c>
      <c r="J3" s="111" t="s">
        <v>241</v>
      </c>
      <c r="K3" s="167">
        <f>I3+TIME(2,0,0)</f>
        <v>0.77083333333333337</v>
      </c>
      <c r="L3" s="113">
        <v>0.875</v>
      </c>
      <c r="M3" s="109" t="s">
        <v>242</v>
      </c>
    </row>
    <row r="4" spans="1:13">
      <c r="A4" s="114" t="s">
        <v>243</v>
      </c>
      <c r="B4" s="115" t="s">
        <v>237</v>
      </c>
      <c r="C4" s="116">
        <v>46345</v>
      </c>
      <c r="D4" s="115" t="s">
        <v>238</v>
      </c>
      <c r="E4" s="115">
        <v>2</v>
      </c>
      <c r="F4" s="117" t="s">
        <v>244</v>
      </c>
      <c r="G4" s="117" t="s">
        <v>245</v>
      </c>
      <c r="H4" s="118">
        <v>0.5625</v>
      </c>
      <c r="I4" s="118">
        <v>0.75</v>
      </c>
      <c r="J4" s="117" t="s">
        <v>246</v>
      </c>
      <c r="K4" s="167">
        <f>I4+TIME(2,0,0)</f>
        <v>0.83333333333333337</v>
      </c>
      <c r="L4" s="119">
        <v>0.9375</v>
      </c>
      <c r="M4" s="115" t="s">
        <v>242</v>
      </c>
    </row>
    <row r="5" spans="1:13">
      <c r="A5" s="120" t="s">
        <v>247</v>
      </c>
      <c r="B5" s="121" t="s">
        <v>237</v>
      </c>
      <c r="C5" s="122">
        <v>46345</v>
      </c>
      <c r="D5" s="121" t="s">
        <v>238</v>
      </c>
      <c r="E5" s="121">
        <v>3</v>
      </c>
      <c r="F5" s="123" t="s">
        <v>248</v>
      </c>
      <c r="G5" s="123" t="s">
        <v>249</v>
      </c>
      <c r="H5" s="124">
        <v>0.58333333333333337</v>
      </c>
      <c r="I5" s="124">
        <v>0.77083333333333337</v>
      </c>
      <c r="J5" s="123" t="s">
        <v>250</v>
      </c>
      <c r="K5" s="167">
        <f t="shared" ref="K5:K68" si="0">I5+TIME(2,0,0)</f>
        <v>0.85416666666666674</v>
      </c>
      <c r="L5" s="125">
        <v>0.95833333333333337</v>
      </c>
      <c r="M5" s="121" t="s">
        <v>242</v>
      </c>
    </row>
    <row r="6" spans="1:13">
      <c r="A6" s="108" t="s">
        <v>251</v>
      </c>
      <c r="B6" s="109" t="s">
        <v>237</v>
      </c>
      <c r="C6" s="110">
        <v>46348</v>
      </c>
      <c r="D6" s="109" t="s">
        <v>238</v>
      </c>
      <c r="E6" s="111">
        <v>1</v>
      </c>
      <c r="F6" s="111" t="s">
        <v>239</v>
      </c>
      <c r="G6" s="111" t="s">
        <v>240</v>
      </c>
      <c r="H6" s="112">
        <v>0.47916666666666669</v>
      </c>
      <c r="I6" s="113">
        <v>0.66666666666666663</v>
      </c>
      <c r="J6" s="111" t="s">
        <v>241</v>
      </c>
      <c r="K6" s="167">
        <f t="shared" si="0"/>
        <v>0.75</v>
      </c>
      <c r="L6" s="113">
        <v>0.85416666666666663</v>
      </c>
      <c r="M6" s="111" t="s">
        <v>242</v>
      </c>
    </row>
    <row r="7" spans="1:13">
      <c r="A7" s="114" t="s">
        <v>252</v>
      </c>
      <c r="B7" s="115" t="s">
        <v>237</v>
      </c>
      <c r="C7" s="115" t="s">
        <v>253</v>
      </c>
      <c r="D7" s="115" t="s">
        <v>238</v>
      </c>
      <c r="E7" s="117">
        <v>2</v>
      </c>
      <c r="F7" s="117" t="s">
        <v>244</v>
      </c>
      <c r="G7" s="117" t="s">
        <v>249</v>
      </c>
      <c r="H7" s="118">
        <v>0.5625</v>
      </c>
      <c r="I7" s="119">
        <v>0.75</v>
      </c>
      <c r="J7" s="117" t="s">
        <v>250</v>
      </c>
      <c r="K7" s="167">
        <f t="shared" si="0"/>
        <v>0.83333333333333337</v>
      </c>
      <c r="L7" s="119">
        <v>0.9375</v>
      </c>
      <c r="M7" s="117" t="s">
        <v>242</v>
      </c>
    </row>
    <row r="8" spans="1:13">
      <c r="A8" s="120" t="s">
        <v>254</v>
      </c>
      <c r="B8" s="121" t="s">
        <v>237</v>
      </c>
      <c r="C8" s="122">
        <v>46348</v>
      </c>
      <c r="D8" s="121" t="s">
        <v>238</v>
      </c>
      <c r="E8" s="123">
        <v>3</v>
      </c>
      <c r="F8" s="123" t="s">
        <v>248</v>
      </c>
      <c r="G8" s="123" t="s">
        <v>245</v>
      </c>
      <c r="H8" s="124">
        <v>0.58333333333333337</v>
      </c>
      <c r="I8" s="125">
        <v>0.77083333333333337</v>
      </c>
      <c r="J8" s="123" t="s">
        <v>255</v>
      </c>
      <c r="K8" s="167">
        <f t="shared" si="0"/>
        <v>0.85416666666666674</v>
      </c>
      <c r="L8" s="125">
        <v>0.95833333333333337</v>
      </c>
      <c r="M8" s="123" t="s">
        <v>242</v>
      </c>
    </row>
    <row r="9" spans="1:13">
      <c r="A9" s="108" t="s">
        <v>256</v>
      </c>
      <c r="B9" s="109" t="s">
        <v>237</v>
      </c>
      <c r="C9" s="110">
        <v>46351</v>
      </c>
      <c r="D9" s="109" t="s">
        <v>257</v>
      </c>
      <c r="E9" s="111">
        <v>1</v>
      </c>
      <c r="F9" s="111" t="s">
        <v>239</v>
      </c>
      <c r="G9" s="111" t="s">
        <v>240</v>
      </c>
      <c r="H9" s="112">
        <v>0.45833333333333331</v>
      </c>
      <c r="I9" s="113">
        <v>0.64583333333333337</v>
      </c>
      <c r="J9" s="111" t="s">
        <v>258</v>
      </c>
      <c r="K9" s="167">
        <f t="shared" si="0"/>
        <v>0.72916666666666674</v>
      </c>
      <c r="L9" s="113">
        <v>0.83333333333333337</v>
      </c>
      <c r="M9" s="111" t="s">
        <v>242</v>
      </c>
    </row>
    <row r="10" spans="1:13">
      <c r="A10" s="114" t="s">
        <v>259</v>
      </c>
      <c r="B10" s="115" t="s">
        <v>237</v>
      </c>
      <c r="C10" s="116">
        <v>46351</v>
      </c>
      <c r="D10" s="115" t="s">
        <v>257</v>
      </c>
      <c r="E10" s="117">
        <v>2</v>
      </c>
      <c r="F10" s="117" t="s">
        <v>244</v>
      </c>
      <c r="G10" s="117" t="s">
        <v>249</v>
      </c>
      <c r="H10" s="118">
        <v>0.54166666666666663</v>
      </c>
      <c r="I10" s="119">
        <v>0.72916666666666663</v>
      </c>
      <c r="J10" s="117" t="s">
        <v>250</v>
      </c>
      <c r="K10" s="167">
        <f t="shared" si="0"/>
        <v>0.8125</v>
      </c>
      <c r="L10" s="119">
        <v>0.91666666666666663</v>
      </c>
      <c r="M10" s="117" t="s">
        <v>242</v>
      </c>
    </row>
    <row r="11" spans="1:13">
      <c r="A11" s="120" t="s">
        <v>260</v>
      </c>
      <c r="B11" s="121" t="s">
        <v>237</v>
      </c>
      <c r="C11" s="122">
        <v>46351</v>
      </c>
      <c r="D11" s="121" t="s">
        <v>257</v>
      </c>
      <c r="E11" s="123">
        <v>3</v>
      </c>
      <c r="F11" s="123" t="s">
        <v>248</v>
      </c>
      <c r="G11" s="123" t="s">
        <v>245</v>
      </c>
      <c r="H11" s="124">
        <v>0.58333333333333337</v>
      </c>
      <c r="I11" s="125">
        <v>0.77083333333333337</v>
      </c>
      <c r="J11" s="123" t="s">
        <v>261</v>
      </c>
      <c r="K11" s="167">
        <f t="shared" si="0"/>
        <v>0.85416666666666674</v>
      </c>
      <c r="L11" s="125">
        <v>0.95833333333333337</v>
      </c>
      <c r="M11" s="123" t="s">
        <v>242</v>
      </c>
    </row>
    <row r="12" spans="1:13">
      <c r="A12" s="108" t="s">
        <v>262</v>
      </c>
      <c r="B12" s="109" t="s">
        <v>25</v>
      </c>
      <c r="C12" s="110">
        <v>46345</v>
      </c>
      <c r="D12" s="109" t="s">
        <v>238</v>
      </c>
      <c r="E12" s="109">
        <v>1</v>
      </c>
      <c r="F12" s="111" t="s">
        <v>239</v>
      </c>
      <c r="G12" s="111" t="s">
        <v>263</v>
      </c>
      <c r="H12" s="112">
        <v>0.60416666666666663</v>
      </c>
      <c r="I12" s="112">
        <v>0.79166666666666663</v>
      </c>
      <c r="J12" s="111" t="s">
        <v>255</v>
      </c>
      <c r="K12" s="167">
        <f t="shared" si="0"/>
        <v>0.875</v>
      </c>
      <c r="L12" s="113">
        <v>0.97916666666666663</v>
      </c>
      <c r="M12" s="109" t="s">
        <v>242</v>
      </c>
    </row>
    <row r="13" spans="1:13">
      <c r="A13" s="108" t="s">
        <v>264</v>
      </c>
      <c r="B13" s="109" t="s">
        <v>25</v>
      </c>
      <c r="C13" s="110">
        <v>46346</v>
      </c>
      <c r="D13" s="109" t="s">
        <v>238</v>
      </c>
      <c r="E13" s="111">
        <v>1</v>
      </c>
      <c r="F13" s="111" t="s">
        <v>239</v>
      </c>
      <c r="G13" s="111" t="s">
        <v>265</v>
      </c>
      <c r="H13" s="112">
        <v>0.58333333333333337</v>
      </c>
      <c r="I13" s="113">
        <v>0.77083333333333337</v>
      </c>
      <c r="J13" s="111" t="s">
        <v>250</v>
      </c>
      <c r="K13" s="167">
        <f t="shared" si="0"/>
        <v>0.85416666666666674</v>
      </c>
      <c r="L13" s="113">
        <v>0.95833333333333337</v>
      </c>
      <c r="M13" s="111" t="s">
        <v>242</v>
      </c>
    </row>
    <row r="14" spans="1:13">
      <c r="A14" s="114" t="s">
        <v>266</v>
      </c>
      <c r="B14" s="115" t="s">
        <v>25</v>
      </c>
      <c r="C14" s="116">
        <v>46346</v>
      </c>
      <c r="D14" s="115" t="s">
        <v>238</v>
      </c>
      <c r="E14" s="117">
        <v>2</v>
      </c>
      <c r="F14" s="117" t="s">
        <v>244</v>
      </c>
      <c r="G14" s="117" t="s">
        <v>267</v>
      </c>
      <c r="H14" s="118">
        <v>0.60416666666666663</v>
      </c>
      <c r="I14" s="119">
        <v>0.79166666666666663</v>
      </c>
      <c r="J14" s="117" t="s">
        <v>246</v>
      </c>
      <c r="K14" s="167">
        <f t="shared" si="0"/>
        <v>0.875</v>
      </c>
      <c r="L14" s="119">
        <v>0.97916666666666663</v>
      </c>
      <c r="M14" s="117" t="s">
        <v>242</v>
      </c>
    </row>
    <row r="15" spans="1:13">
      <c r="A15" s="108" t="s">
        <v>268</v>
      </c>
      <c r="B15" s="109" t="s">
        <v>25</v>
      </c>
      <c r="C15" s="110">
        <v>46348</v>
      </c>
      <c r="D15" s="109" t="s">
        <v>238</v>
      </c>
      <c r="E15" s="111">
        <v>1</v>
      </c>
      <c r="F15" s="111" t="s">
        <v>239</v>
      </c>
      <c r="G15" s="111" t="s">
        <v>263</v>
      </c>
      <c r="H15" s="112">
        <v>0.58333333333333337</v>
      </c>
      <c r="I15" s="113">
        <v>0.77083333333333337</v>
      </c>
      <c r="J15" s="111" t="s">
        <v>261</v>
      </c>
      <c r="K15" s="167">
        <f t="shared" si="0"/>
        <v>0.85416666666666674</v>
      </c>
      <c r="L15" s="113">
        <v>0.95833333333333337</v>
      </c>
      <c r="M15" s="111" t="s">
        <v>242</v>
      </c>
    </row>
    <row r="16" spans="1:13">
      <c r="A16" s="108" t="s">
        <v>269</v>
      </c>
      <c r="B16" s="109" t="s">
        <v>25</v>
      </c>
      <c r="C16" s="110">
        <v>46349</v>
      </c>
      <c r="D16" s="109" t="s">
        <v>238</v>
      </c>
      <c r="E16" s="111">
        <v>1</v>
      </c>
      <c r="F16" s="111" t="s">
        <v>239</v>
      </c>
      <c r="G16" s="111" t="s">
        <v>265</v>
      </c>
      <c r="H16" s="112">
        <v>0.45833333333333331</v>
      </c>
      <c r="I16" s="113">
        <v>0.64583333333333337</v>
      </c>
      <c r="J16" s="111" t="s">
        <v>258</v>
      </c>
      <c r="K16" s="167">
        <f t="shared" si="0"/>
        <v>0.72916666666666674</v>
      </c>
      <c r="L16" s="113">
        <v>0.83333333333333337</v>
      </c>
      <c r="M16" s="111" t="s">
        <v>242</v>
      </c>
    </row>
    <row r="17" spans="1:13">
      <c r="A17" s="114" t="s">
        <v>270</v>
      </c>
      <c r="B17" s="115" t="s">
        <v>25</v>
      </c>
      <c r="C17" s="116">
        <v>46349</v>
      </c>
      <c r="D17" s="115" t="s">
        <v>238</v>
      </c>
      <c r="E17" s="117">
        <v>2</v>
      </c>
      <c r="F17" s="117" t="s">
        <v>244</v>
      </c>
      <c r="G17" s="117" t="s">
        <v>267</v>
      </c>
      <c r="H17" s="118">
        <v>0.54166666666666663</v>
      </c>
      <c r="I17" s="119">
        <v>0.72916666666666663</v>
      </c>
      <c r="J17" s="117" t="s">
        <v>246</v>
      </c>
      <c r="K17" s="167">
        <f t="shared" si="0"/>
        <v>0.8125</v>
      </c>
      <c r="L17" s="119">
        <v>0.91666666666666663</v>
      </c>
      <c r="M17" s="117" t="s">
        <v>242</v>
      </c>
    </row>
    <row r="18" spans="1:13">
      <c r="A18" s="108" t="s">
        <v>271</v>
      </c>
      <c r="B18" s="109" t="s">
        <v>25</v>
      </c>
      <c r="C18" s="110">
        <v>46351</v>
      </c>
      <c r="D18" s="109" t="s">
        <v>257</v>
      </c>
      <c r="E18" s="111">
        <v>1</v>
      </c>
      <c r="F18" s="111" t="s">
        <v>239</v>
      </c>
      <c r="G18" s="111" t="s">
        <v>263</v>
      </c>
      <c r="H18" s="112">
        <v>0.5</v>
      </c>
      <c r="I18" s="113">
        <v>0.6875</v>
      </c>
      <c r="J18" s="111" t="s">
        <v>272</v>
      </c>
      <c r="K18" s="167">
        <f t="shared" si="0"/>
        <v>0.77083333333333337</v>
      </c>
      <c r="L18" s="113">
        <v>0.875</v>
      </c>
      <c r="M18" s="111" t="s">
        <v>242</v>
      </c>
    </row>
    <row r="19" spans="1:13">
      <c r="A19" s="108" t="s">
        <v>273</v>
      </c>
      <c r="B19" s="109" t="s">
        <v>25</v>
      </c>
      <c r="C19" s="110">
        <v>46352</v>
      </c>
      <c r="D19" s="109" t="s">
        <v>257</v>
      </c>
      <c r="E19" s="111">
        <v>1</v>
      </c>
      <c r="F19" s="111" t="s">
        <v>239</v>
      </c>
      <c r="G19" s="111" t="s">
        <v>267</v>
      </c>
      <c r="H19" s="112">
        <v>0.52083333333333337</v>
      </c>
      <c r="I19" s="113">
        <v>0.70833333333333337</v>
      </c>
      <c r="J19" s="111" t="s">
        <v>272</v>
      </c>
      <c r="K19" s="167">
        <f t="shared" si="0"/>
        <v>0.79166666666666674</v>
      </c>
      <c r="L19" s="113">
        <v>0.89583333333333337</v>
      </c>
      <c r="M19" s="111" t="s">
        <v>242</v>
      </c>
    </row>
    <row r="20" spans="1:13">
      <c r="A20" s="114" t="s">
        <v>274</v>
      </c>
      <c r="B20" s="115" t="s">
        <v>25</v>
      </c>
      <c r="C20" s="116">
        <v>46352</v>
      </c>
      <c r="D20" s="115" t="s">
        <v>257</v>
      </c>
      <c r="E20" s="117">
        <v>2</v>
      </c>
      <c r="F20" s="117" t="s">
        <v>244</v>
      </c>
      <c r="G20" s="117" t="s">
        <v>265</v>
      </c>
      <c r="H20" s="118">
        <v>0.60416666666666663</v>
      </c>
      <c r="I20" s="119">
        <v>0.79166666666666663</v>
      </c>
      <c r="J20" s="117" t="s">
        <v>261</v>
      </c>
      <c r="K20" s="167">
        <f t="shared" si="0"/>
        <v>0.875</v>
      </c>
      <c r="L20" s="119">
        <v>0.97916666666666663</v>
      </c>
      <c r="M20" s="117" t="s">
        <v>242</v>
      </c>
    </row>
    <row r="21" spans="1:13">
      <c r="A21" s="108" t="s">
        <v>275</v>
      </c>
      <c r="B21" s="109" t="s">
        <v>32</v>
      </c>
      <c r="C21" s="110">
        <v>46346</v>
      </c>
      <c r="D21" s="109" t="s">
        <v>238</v>
      </c>
      <c r="E21" s="111">
        <v>1</v>
      </c>
      <c r="F21" s="111" t="s">
        <v>239</v>
      </c>
      <c r="G21" s="111" t="s">
        <v>276</v>
      </c>
      <c r="H21" s="112">
        <v>0.47916666666666669</v>
      </c>
      <c r="I21" s="113">
        <v>0.66666666666666663</v>
      </c>
      <c r="J21" s="111" t="s">
        <v>258</v>
      </c>
      <c r="K21" s="167">
        <f t="shared" si="0"/>
        <v>0.75</v>
      </c>
      <c r="L21" s="113">
        <v>0.85416666666666663</v>
      </c>
      <c r="M21" s="111" t="s">
        <v>242</v>
      </c>
    </row>
    <row r="22" spans="1:13">
      <c r="A22" s="114" t="s">
        <v>277</v>
      </c>
      <c r="B22" s="115" t="s">
        <v>32</v>
      </c>
      <c r="C22" s="116">
        <v>46346</v>
      </c>
      <c r="D22" s="115" t="s">
        <v>238</v>
      </c>
      <c r="E22" s="117">
        <v>2</v>
      </c>
      <c r="F22" s="117" t="s">
        <v>244</v>
      </c>
      <c r="G22" s="117" t="s">
        <v>278</v>
      </c>
      <c r="H22" s="118">
        <v>0.52083333333333337</v>
      </c>
      <c r="I22" s="119">
        <v>0.70833333333333337</v>
      </c>
      <c r="J22" s="117" t="s">
        <v>272</v>
      </c>
      <c r="K22" s="167">
        <f t="shared" si="0"/>
        <v>0.79166666666666674</v>
      </c>
      <c r="L22" s="119">
        <v>0.89583333333333337</v>
      </c>
      <c r="M22" s="117" t="s">
        <v>242</v>
      </c>
    </row>
    <row r="23" spans="1:13">
      <c r="A23" s="108" t="s">
        <v>279</v>
      </c>
      <c r="B23" s="109" t="s">
        <v>32</v>
      </c>
      <c r="C23" s="110">
        <v>46347</v>
      </c>
      <c r="D23" s="109" t="s">
        <v>238</v>
      </c>
      <c r="E23" s="111">
        <v>1</v>
      </c>
      <c r="F23" s="111" t="s">
        <v>239</v>
      </c>
      <c r="G23" s="111" t="s">
        <v>280</v>
      </c>
      <c r="H23" s="112">
        <v>0.54166666666666663</v>
      </c>
      <c r="I23" s="113">
        <v>0.72916666666666663</v>
      </c>
      <c r="J23" s="111" t="s">
        <v>246</v>
      </c>
      <c r="K23" s="167">
        <f t="shared" si="0"/>
        <v>0.8125</v>
      </c>
      <c r="L23" s="113">
        <v>0.91666666666666663</v>
      </c>
      <c r="M23" s="111" t="s">
        <v>242</v>
      </c>
    </row>
    <row r="24" spans="1:13">
      <c r="A24" s="114" t="s">
        <v>281</v>
      </c>
      <c r="B24" s="115" t="s">
        <v>32</v>
      </c>
      <c r="C24" s="116">
        <v>46347</v>
      </c>
      <c r="D24" s="115" t="s">
        <v>238</v>
      </c>
      <c r="E24" s="117">
        <v>2</v>
      </c>
      <c r="F24" s="117" t="s">
        <v>244</v>
      </c>
      <c r="G24" s="117" t="s">
        <v>282</v>
      </c>
      <c r="H24" s="118">
        <v>0.5625</v>
      </c>
      <c r="I24" s="119">
        <v>0.75</v>
      </c>
      <c r="J24" s="117" t="s">
        <v>250</v>
      </c>
      <c r="K24" s="167">
        <f t="shared" si="0"/>
        <v>0.83333333333333337</v>
      </c>
      <c r="L24" s="119">
        <v>0.9375</v>
      </c>
      <c r="M24" s="117" t="s">
        <v>242</v>
      </c>
    </row>
    <row r="25" spans="1:13">
      <c r="A25" s="120" t="s">
        <v>283</v>
      </c>
      <c r="B25" s="121" t="s">
        <v>32</v>
      </c>
      <c r="C25" s="122">
        <v>46347</v>
      </c>
      <c r="D25" s="121" t="s">
        <v>238</v>
      </c>
      <c r="E25" s="123">
        <v>3</v>
      </c>
      <c r="F25" s="123" t="s">
        <v>248</v>
      </c>
      <c r="G25" s="123" t="s">
        <v>284</v>
      </c>
      <c r="H25" s="124">
        <v>0.58333333333333337</v>
      </c>
      <c r="I25" s="125">
        <v>0.77083333333333337</v>
      </c>
      <c r="J25" s="123" t="s">
        <v>255</v>
      </c>
      <c r="K25" s="167">
        <f t="shared" si="0"/>
        <v>0.85416666666666674</v>
      </c>
      <c r="L25" s="125">
        <v>0.95833333333333337</v>
      </c>
      <c r="M25" s="123" t="s">
        <v>242</v>
      </c>
    </row>
    <row r="26" spans="1:13">
      <c r="A26" s="108" t="s">
        <v>285</v>
      </c>
      <c r="B26" s="109" t="s">
        <v>32</v>
      </c>
      <c r="C26" s="110">
        <v>46349</v>
      </c>
      <c r="D26" s="109" t="s">
        <v>238</v>
      </c>
      <c r="E26" s="111">
        <v>1</v>
      </c>
      <c r="F26" s="111" t="s">
        <v>239</v>
      </c>
      <c r="G26" s="111" t="s">
        <v>278</v>
      </c>
      <c r="H26" s="112">
        <v>0.5625</v>
      </c>
      <c r="I26" s="113">
        <v>0.75</v>
      </c>
      <c r="J26" s="111" t="s">
        <v>250</v>
      </c>
      <c r="K26" s="167">
        <f t="shared" si="0"/>
        <v>0.83333333333333337</v>
      </c>
      <c r="L26" s="113">
        <v>0.9375</v>
      </c>
      <c r="M26" s="111" t="s">
        <v>242</v>
      </c>
    </row>
    <row r="27" spans="1:13">
      <c r="A27" s="114" t="s">
        <v>286</v>
      </c>
      <c r="B27" s="115" t="s">
        <v>32</v>
      </c>
      <c r="C27" s="116">
        <v>46349</v>
      </c>
      <c r="D27" s="115" t="s">
        <v>238</v>
      </c>
      <c r="E27" s="117">
        <v>2</v>
      </c>
      <c r="F27" s="117" t="s">
        <v>244</v>
      </c>
      <c r="G27" s="117" t="s">
        <v>276</v>
      </c>
      <c r="H27" s="118">
        <v>0.58333333333333337</v>
      </c>
      <c r="I27" s="119">
        <v>0.77083333333333337</v>
      </c>
      <c r="J27" s="117" t="s">
        <v>255</v>
      </c>
      <c r="K27" s="167">
        <f t="shared" si="0"/>
        <v>0.85416666666666674</v>
      </c>
      <c r="L27" s="119">
        <v>0.95833333333333337</v>
      </c>
      <c r="M27" s="117" t="s">
        <v>242</v>
      </c>
    </row>
    <row r="28" spans="1:13">
      <c r="A28" s="108" t="s">
        <v>287</v>
      </c>
      <c r="B28" s="109" t="s">
        <v>32</v>
      </c>
      <c r="C28" s="110">
        <v>46350</v>
      </c>
      <c r="D28" s="109" t="s">
        <v>238</v>
      </c>
      <c r="E28" s="111">
        <v>1</v>
      </c>
      <c r="F28" s="111" t="s">
        <v>239</v>
      </c>
      <c r="G28" s="111" t="s">
        <v>280</v>
      </c>
      <c r="H28" s="112">
        <v>0.5</v>
      </c>
      <c r="I28" s="113">
        <v>0.6875</v>
      </c>
      <c r="J28" s="111" t="s">
        <v>272</v>
      </c>
      <c r="K28" s="167">
        <f t="shared" si="0"/>
        <v>0.77083333333333337</v>
      </c>
      <c r="L28" s="113">
        <v>0.875</v>
      </c>
      <c r="M28" s="111" t="s">
        <v>242</v>
      </c>
    </row>
    <row r="29" spans="1:13">
      <c r="A29" s="114" t="s">
        <v>288</v>
      </c>
      <c r="B29" s="115" t="s">
        <v>32</v>
      </c>
      <c r="C29" s="116">
        <v>46350</v>
      </c>
      <c r="D29" s="115" t="s">
        <v>238</v>
      </c>
      <c r="E29" s="117">
        <v>2</v>
      </c>
      <c r="F29" s="117" t="s">
        <v>244</v>
      </c>
      <c r="G29" s="117" t="s">
        <v>282</v>
      </c>
      <c r="H29" s="118">
        <v>0.5625</v>
      </c>
      <c r="I29" s="119">
        <v>0.75</v>
      </c>
      <c r="J29" s="117" t="s">
        <v>250</v>
      </c>
      <c r="K29" s="167">
        <f t="shared" si="0"/>
        <v>0.83333333333333337</v>
      </c>
      <c r="L29" s="119">
        <v>0.9375</v>
      </c>
      <c r="M29" s="117" t="s">
        <v>242</v>
      </c>
    </row>
    <row r="30" spans="1:13">
      <c r="A30" s="120" t="s">
        <v>289</v>
      </c>
      <c r="B30" s="121" t="s">
        <v>32</v>
      </c>
      <c r="C30" s="122">
        <v>46350</v>
      </c>
      <c r="D30" s="121" t="s">
        <v>238</v>
      </c>
      <c r="E30" s="123">
        <v>3</v>
      </c>
      <c r="F30" s="123" t="s">
        <v>248</v>
      </c>
      <c r="G30" s="123" t="s">
        <v>284</v>
      </c>
      <c r="H30" s="124">
        <v>0.58333333333333337</v>
      </c>
      <c r="I30" s="125">
        <v>0.77083333333333337</v>
      </c>
      <c r="J30" s="123" t="s">
        <v>255</v>
      </c>
      <c r="K30" s="167">
        <f t="shared" si="0"/>
        <v>0.85416666666666674</v>
      </c>
      <c r="L30" s="125">
        <v>0.95833333333333337</v>
      </c>
      <c r="M30" s="123" t="s">
        <v>242</v>
      </c>
    </row>
    <row r="31" spans="1:13">
      <c r="A31" s="108" t="s">
        <v>290</v>
      </c>
      <c r="B31" s="109" t="s">
        <v>32</v>
      </c>
      <c r="C31" s="110">
        <v>46352</v>
      </c>
      <c r="D31" s="109" t="s">
        <v>257</v>
      </c>
      <c r="E31" s="111">
        <v>1</v>
      </c>
      <c r="F31" s="111" t="s">
        <v>239</v>
      </c>
      <c r="G31" s="111" t="s">
        <v>276</v>
      </c>
      <c r="H31" s="112">
        <v>0.47916666666666669</v>
      </c>
      <c r="I31" s="113">
        <v>0.66666666666666663</v>
      </c>
      <c r="J31" s="111" t="s">
        <v>291</v>
      </c>
      <c r="K31" s="167">
        <f t="shared" si="0"/>
        <v>0.75</v>
      </c>
      <c r="L31" s="113">
        <v>0.85416666666666663</v>
      </c>
      <c r="M31" s="111" t="s">
        <v>242</v>
      </c>
    </row>
    <row r="32" spans="1:13">
      <c r="A32" s="114" t="s">
        <v>292</v>
      </c>
      <c r="B32" s="115" t="s">
        <v>32</v>
      </c>
      <c r="C32" s="116">
        <v>46352</v>
      </c>
      <c r="D32" s="115" t="s">
        <v>257</v>
      </c>
      <c r="E32" s="117">
        <v>2</v>
      </c>
      <c r="F32" s="117" t="s">
        <v>244</v>
      </c>
      <c r="G32" s="117" t="s">
        <v>278</v>
      </c>
      <c r="H32" s="118">
        <v>0.5625</v>
      </c>
      <c r="I32" s="119">
        <v>0.75</v>
      </c>
      <c r="J32" s="117" t="s">
        <v>250</v>
      </c>
      <c r="K32" s="167">
        <f t="shared" si="0"/>
        <v>0.83333333333333337</v>
      </c>
      <c r="L32" s="119">
        <v>0.9375</v>
      </c>
      <c r="M32" s="117" t="s">
        <v>242</v>
      </c>
    </row>
    <row r="33" spans="1:13">
      <c r="A33" s="108" t="s">
        <v>293</v>
      </c>
      <c r="B33" s="109" t="s">
        <v>32</v>
      </c>
      <c r="C33" s="110">
        <v>46353</v>
      </c>
      <c r="D33" s="109" t="s">
        <v>257</v>
      </c>
      <c r="E33" s="111">
        <v>1</v>
      </c>
      <c r="F33" s="111" t="s">
        <v>239</v>
      </c>
      <c r="G33" s="111" t="s">
        <v>282</v>
      </c>
      <c r="H33" s="112">
        <v>0.52083333333333337</v>
      </c>
      <c r="I33" s="113">
        <v>0.70833333333333337</v>
      </c>
      <c r="J33" s="111" t="s">
        <v>272</v>
      </c>
      <c r="K33" s="167">
        <f t="shared" si="0"/>
        <v>0.79166666666666674</v>
      </c>
      <c r="L33" s="113">
        <v>0.89583333333333337</v>
      </c>
      <c r="M33" s="111" t="s">
        <v>242</v>
      </c>
    </row>
    <row r="34" spans="1:13">
      <c r="A34" s="114" t="s">
        <v>294</v>
      </c>
      <c r="B34" s="115" t="s">
        <v>32</v>
      </c>
      <c r="C34" s="116">
        <v>46353</v>
      </c>
      <c r="D34" s="115" t="s">
        <v>257</v>
      </c>
      <c r="E34" s="117">
        <v>2</v>
      </c>
      <c r="F34" s="117" t="s">
        <v>244</v>
      </c>
      <c r="G34" s="117" t="s">
        <v>280</v>
      </c>
      <c r="H34" s="118">
        <v>0.5625</v>
      </c>
      <c r="I34" s="119">
        <v>0.75</v>
      </c>
      <c r="J34" s="117" t="s">
        <v>246</v>
      </c>
      <c r="K34" s="167">
        <f t="shared" si="0"/>
        <v>0.83333333333333337</v>
      </c>
      <c r="L34" s="119">
        <v>0.9375</v>
      </c>
      <c r="M34" s="117" t="s">
        <v>242</v>
      </c>
    </row>
    <row r="35" spans="1:13">
      <c r="A35" s="120" t="s">
        <v>295</v>
      </c>
      <c r="B35" s="121" t="s">
        <v>32</v>
      </c>
      <c r="C35" s="122">
        <v>46353</v>
      </c>
      <c r="D35" s="121" t="s">
        <v>257</v>
      </c>
      <c r="E35" s="123">
        <v>3</v>
      </c>
      <c r="F35" s="123" t="s">
        <v>248</v>
      </c>
      <c r="G35" s="123" t="s">
        <v>284</v>
      </c>
      <c r="H35" s="124">
        <v>0.60416666666666663</v>
      </c>
      <c r="I35" s="125">
        <v>0.79166666666666663</v>
      </c>
      <c r="J35" s="123" t="s">
        <v>261</v>
      </c>
      <c r="K35" s="167">
        <f t="shared" si="0"/>
        <v>0.875</v>
      </c>
      <c r="L35" s="125">
        <v>0.97916666666666663</v>
      </c>
      <c r="M35" s="123" t="s">
        <v>242</v>
      </c>
    </row>
    <row r="36" spans="1:13">
      <c r="A36" s="108" t="s">
        <v>296</v>
      </c>
      <c r="B36" s="109" t="s">
        <v>39</v>
      </c>
      <c r="C36" s="110">
        <v>46345</v>
      </c>
      <c r="D36" s="109" t="s">
        <v>238</v>
      </c>
      <c r="E36" s="109">
        <v>1</v>
      </c>
      <c r="F36" s="111" t="s">
        <v>239</v>
      </c>
      <c r="G36" s="111" t="s">
        <v>297</v>
      </c>
      <c r="H36" s="112">
        <v>0.47916666666666669</v>
      </c>
      <c r="I36" s="112">
        <v>0.66666666666666663</v>
      </c>
      <c r="J36" s="111" t="s">
        <v>291</v>
      </c>
      <c r="K36" s="167">
        <f t="shared" si="0"/>
        <v>0.75</v>
      </c>
      <c r="L36" s="113">
        <v>0.85416666666666663</v>
      </c>
      <c r="M36" s="109" t="s">
        <v>242</v>
      </c>
    </row>
    <row r="37" spans="1:13">
      <c r="A37" s="114" t="s">
        <v>298</v>
      </c>
      <c r="B37" s="115" t="s">
        <v>39</v>
      </c>
      <c r="C37" s="116">
        <v>46345</v>
      </c>
      <c r="D37" s="115" t="s">
        <v>238</v>
      </c>
      <c r="E37" s="115">
        <v>2</v>
      </c>
      <c r="F37" s="117" t="s">
        <v>244</v>
      </c>
      <c r="G37" s="117" t="s">
        <v>299</v>
      </c>
      <c r="H37" s="118">
        <v>0.58333333333333337</v>
      </c>
      <c r="I37" s="118">
        <v>0.77083333333333337</v>
      </c>
      <c r="J37" s="117" t="s">
        <v>250</v>
      </c>
      <c r="K37" s="167">
        <f t="shared" si="0"/>
        <v>0.85416666666666674</v>
      </c>
      <c r="L37" s="119">
        <v>0.95833333333333337</v>
      </c>
      <c r="M37" s="115" t="s">
        <v>242</v>
      </c>
    </row>
    <row r="38" spans="1:13">
      <c r="A38" s="108" t="s">
        <v>300</v>
      </c>
      <c r="B38" s="109" t="s">
        <v>39</v>
      </c>
      <c r="C38" s="110">
        <v>46347</v>
      </c>
      <c r="D38" s="109" t="s">
        <v>238</v>
      </c>
      <c r="E38" s="111">
        <v>1</v>
      </c>
      <c r="F38" s="111" t="s">
        <v>239</v>
      </c>
      <c r="G38" s="111" t="s">
        <v>301</v>
      </c>
      <c r="H38" s="112">
        <v>0.45833333333333331</v>
      </c>
      <c r="I38" s="113">
        <v>0.64583333333333337</v>
      </c>
      <c r="J38" s="111" t="s">
        <v>291</v>
      </c>
      <c r="K38" s="167">
        <f t="shared" si="0"/>
        <v>0.72916666666666674</v>
      </c>
      <c r="L38" s="113">
        <v>0.83333333333333337</v>
      </c>
      <c r="M38" s="111" t="s">
        <v>242</v>
      </c>
    </row>
    <row r="39" spans="1:13">
      <c r="A39" s="108" t="s">
        <v>302</v>
      </c>
      <c r="B39" s="109" t="s">
        <v>39</v>
      </c>
      <c r="C39" s="110">
        <v>46348</v>
      </c>
      <c r="D39" s="109" t="s">
        <v>238</v>
      </c>
      <c r="E39" s="111">
        <v>1</v>
      </c>
      <c r="F39" s="111" t="s">
        <v>239</v>
      </c>
      <c r="G39" s="111" t="s">
        <v>299</v>
      </c>
      <c r="H39" s="112">
        <v>0.45833333333333331</v>
      </c>
      <c r="I39" s="113">
        <v>0.64583333333333337</v>
      </c>
      <c r="J39" s="111" t="s">
        <v>258</v>
      </c>
      <c r="K39" s="167">
        <f t="shared" si="0"/>
        <v>0.72916666666666674</v>
      </c>
      <c r="L39" s="113">
        <v>0.83333333333333337</v>
      </c>
      <c r="M39" s="111" t="s">
        <v>242</v>
      </c>
    </row>
    <row r="40" spans="1:13">
      <c r="A40" s="108" t="s">
        <v>303</v>
      </c>
      <c r="B40" s="109" t="s">
        <v>39</v>
      </c>
      <c r="C40" s="110">
        <v>46350</v>
      </c>
      <c r="D40" s="109" t="s">
        <v>238</v>
      </c>
      <c r="E40" s="111">
        <v>1</v>
      </c>
      <c r="F40" s="111" t="s">
        <v>239</v>
      </c>
      <c r="G40" s="111" t="s">
        <v>301</v>
      </c>
      <c r="H40" s="112">
        <v>0.58333333333333337</v>
      </c>
      <c r="I40" s="113">
        <v>0.77083333333333337</v>
      </c>
      <c r="J40" s="111" t="s">
        <v>261</v>
      </c>
      <c r="K40" s="167">
        <f t="shared" si="0"/>
        <v>0.85416666666666674</v>
      </c>
      <c r="L40" s="113">
        <v>0.95833333333333337</v>
      </c>
      <c r="M40" s="111" t="s">
        <v>242</v>
      </c>
    </row>
    <row r="41" spans="1:13">
      <c r="A41" s="108" t="s">
        <v>304</v>
      </c>
      <c r="B41" s="109" t="s">
        <v>39</v>
      </c>
      <c r="C41" s="110">
        <v>46351</v>
      </c>
      <c r="D41" s="109" t="s">
        <v>257</v>
      </c>
      <c r="E41" s="111">
        <v>1</v>
      </c>
      <c r="F41" s="111" t="s">
        <v>239</v>
      </c>
      <c r="G41" s="111" t="s">
        <v>297</v>
      </c>
      <c r="H41" s="112">
        <v>0.45833333333333331</v>
      </c>
      <c r="I41" s="113">
        <v>0.64583333333333337</v>
      </c>
      <c r="J41" s="111" t="s">
        <v>258</v>
      </c>
      <c r="K41" s="167">
        <f t="shared" si="0"/>
        <v>0.72916666666666674</v>
      </c>
      <c r="L41" s="113">
        <v>0.83333333333333337</v>
      </c>
      <c r="M41" s="111" t="s">
        <v>242</v>
      </c>
    </row>
    <row r="42" spans="1:13">
      <c r="A42" s="114" t="s">
        <v>305</v>
      </c>
      <c r="B42" s="115" t="s">
        <v>39</v>
      </c>
      <c r="C42" s="116">
        <v>46351</v>
      </c>
      <c r="D42" s="115" t="s">
        <v>257</v>
      </c>
      <c r="E42" s="117">
        <v>2</v>
      </c>
      <c r="F42" s="117" t="s">
        <v>244</v>
      </c>
      <c r="G42" s="117" t="s">
        <v>299</v>
      </c>
      <c r="H42" s="118">
        <v>0.5</v>
      </c>
      <c r="I42" s="119">
        <v>0.6875</v>
      </c>
      <c r="J42" s="117" t="s">
        <v>246</v>
      </c>
      <c r="K42" s="167">
        <f t="shared" si="0"/>
        <v>0.77083333333333337</v>
      </c>
      <c r="L42" s="119">
        <v>0.875</v>
      </c>
      <c r="M42" s="117" t="s">
        <v>242</v>
      </c>
    </row>
    <row r="43" spans="1:13">
      <c r="A43" s="108" t="s">
        <v>306</v>
      </c>
      <c r="B43" s="109" t="s">
        <v>39</v>
      </c>
      <c r="C43" s="110">
        <v>46353</v>
      </c>
      <c r="D43" s="109" t="s">
        <v>257</v>
      </c>
      <c r="E43" s="111">
        <v>1</v>
      </c>
      <c r="F43" s="111" t="s">
        <v>239</v>
      </c>
      <c r="G43" s="111" t="s">
        <v>301</v>
      </c>
      <c r="H43" s="112">
        <v>0.47916666666666669</v>
      </c>
      <c r="I43" s="113">
        <v>0.66666666666666663</v>
      </c>
      <c r="J43" s="111" t="s">
        <v>291</v>
      </c>
      <c r="K43" s="167">
        <f t="shared" si="0"/>
        <v>0.75</v>
      </c>
      <c r="L43" s="113">
        <v>0.85416666666666663</v>
      </c>
      <c r="M43" s="111" t="s">
        <v>242</v>
      </c>
    </row>
    <row r="44" spans="1:13">
      <c r="A44" s="108" t="s">
        <v>307</v>
      </c>
      <c r="B44" s="109" t="s">
        <v>46</v>
      </c>
      <c r="C44" s="110">
        <v>46345</v>
      </c>
      <c r="D44" s="109" t="s">
        <v>238</v>
      </c>
      <c r="E44" s="109">
        <v>1</v>
      </c>
      <c r="F44" s="111" t="s">
        <v>239</v>
      </c>
      <c r="G44" s="111" t="s">
        <v>308</v>
      </c>
      <c r="H44" s="112">
        <v>0.47916666666666669</v>
      </c>
      <c r="I44" s="112">
        <v>0.66666666666666663</v>
      </c>
      <c r="J44" s="111" t="s">
        <v>258</v>
      </c>
      <c r="K44" s="167">
        <f t="shared" si="0"/>
        <v>0.75</v>
      </c>
      <c r="L44" s="113">
        <v>0.85416666666666663</v>
      </c>
      <c r="M44" s="109" t="s">
        <v>242</v>
      </c>
    </row>
    <row r="45" spans="1:13">
      <c r="A45" s="114" t="s">
        <v>309</v>
      </c>
      <c r="B45" s="115" t="s">
        <v>46</v>
      </c>
      <c r="C45" s="116">
        <v>46345</v>
      </c>
      <c r="D45" s="115" t="s">
        <v>238</v>
      </c>
      <c r="E45" s="115">
        <v>2</v>
      </c>
      <c r="F45" s="117" t="s">
        <v>244</v>
      </c>
      <c r="G45" s="117" t="s">
        <v>310</v>
      </c>
      <c r="H45" s="118">
        <v>0.5625</v>
      </c>
      <c r="I45" s="118">
        <v>0.75</v>
      </c>
      <c r="J45" s="117" t="s">
        <v>246</v>
      </c>
      <c r="K45" s="167">
        <f t="shared" si="0"/>
        <v>0.83333333333333337</v>
      </c>
      <c r="L45" s="119">
        <v>0.9375</v>
      </c>
      <c r="M45" s="115" t="s">
        <v>242</v>
      </c>
    </row>
    <row r="46" spans="1:13">
      <c r="A46" s="108" t="s">
        <v>311</v>
      </c>
      <c r="B46" s="109" t="s">
        <v>46</v>
      </c>
      <c r="C46" s="110">
        <v>46346</v>
      </c>
      <c r="D46" s="109" t="s">
        <v>238</v>
      </c>
      <c r="E46" s="111">
        <v>1</v>
      </c>
      <c r="F46" s="111" t="s">
        <v>239</v>
      </c>
      <c r="G46" s="111" t="s">
        <v>312</v>
      </c>
      <c r="H46" s="112">
        <v>0.47916666666666669</v>
      </c>
      <c r="I46" s="113">
        <v>0.66666666666666663</v>
      </c>
      <c r="J46" s="111" t="s">
        <v>291</v>
      </c>
      <c r="K46" s="167">
        <f t="shared" si="0"/>
        <v>0.75</v>
      </c>
      <c r="L46" s="113">
        <v>0.85416666666666663</v>
      </c>
      <c r="M46" s="111" t="s">
        <v>242</v>
      </c>
    </row>
    <row r="47" spans="1:13">
      <c r="A47" s="114" t="s">
        <v>313</v>
      </c>
      <c r="B47" s="115" t="s">
        <v>46</v>
      </c>
      <c r="C47" s="116">
        <v>46346</v>
      </c>
      <c r="D47" s="115" t="s">
        <v>238</v>
      </c>
      <c r="E47" s="117">
        <v>2</v>
      </c>
      <c r="F47" s="117" t="s">
        <v>244</v>
      </c>
      <c r="G47" s="117" t="s">
        <v>314</v>
      </c>
      <c r="H47" s="118">
        <v>0.60416666666666663</v>
      </c>
      <c r="I47" s="119">
        <v>0.79166666666666663</v>
      </c>
      <c r="J47" s="117" t="s">
        <v>246</v>
      </c>
      <c r="K47" s="167">
        <f t="shared" si="0"/>
        <v>0.875</v>
      </c>
      <c r="L47" s="119">
        <v>0.97916666666666663</v>
      </c>
      <c r="M47" s="117" t="s">
        <v>242</v>
      </c>
    </row>
    <row r="48" spans="1:13">
      <c r="A48" s="108" t="s">
        <v>315</v>
      </c>
      <c r="B48" s="109" t="s">
        <v>46</v>
      </c>
      <c r="C48" s="110">
        <v>46348</v>
      </c>
      <c r="D48" s="109" t="s">
        <v>238</v>
      </c>
      <c r="E48" s="111">
        <v>1</v>
      </c>
      <c r="F48" s="111" t="s">
        <v>239</v>
      </c>
      <c r="G48" s="111" t="s">
        <v>310</v>
      </c>
      <c r="H48" s="112">
        <v>0.45833333333333331</v>
      </c>
      <c r="I48" s="113">
        <v>0.64583333333333337</v>
      </c>
      <c r="J48" s="111" t="s">
        <v>291</v>
      </c>
      <c r="K48" s="167">
        <f t="shared" si="0"/>
        <v>0.72916666666666674</v>
      </c>
      <c r="L48" s="113">
        <v>0.83333333333333337</v>
      </c>
      <c r="M48" s="111" t="s">
        <v>242</v>
      </c>
    </row>
    <row r="49" spans="1:13">
      <c r="A49" s="114" t="s">
        <v>316</v>
      </c>
      <c r="B49" s="115" t="s">
        <v>46</v>
      </c>
      <c r="C49" s="116">
        <v>46348</v>
      </c>
      <c r="D49" s="115" t="s">
        <v>238</v>
      </c>
      <c r="E49" s="117">
        <v>2</v>
      </c>
      <c r="F49" s="117" t="s">
        <v>244</v>
      </c>
      <c r="G49" s="117" t="s">
        <v>308</v>
      </c>
      <c r="H49" s="118">
        <v>0.5</v>
      </c>
      <c r="I49" s="119">
        <v>0.6875</v>
      </c>
      <c r="J49" s="117" t="s">
        <v>272</v>
      </c>
      <c r="K49" s="167">
        <f t="shared" si="0"/>
        <v>0.77083333333333337</v>
      </c>
      <c r="L49" s="119">
        <v>0.875</v>
      </c>
      <c r="M49" s="117" t="s">
        <v>242</v>
      </c>
    </row>
    <row r="50" spans="1:13">
      <c r="A50" s="108" t="s">
        <v>317</v>
      </c>
      <c r="B50" s="109" t="s">
        <v>46</v>
      </c>
      <c r="C50" s="110">
        <v>46349</v>
      </c>
      <c r="D50" s="109" t="s">
        <v>238</v>
      </c>
      <c r="E50" s="111">
        <v>1</v>
      </c>
      <c r="F50" s="111" t="s">
        <v>239</v>
      </c>
      <c r="G50" s="111" t="s">
        <v>314</v>
      </c>
      <c r="H50" s="112">
        <v>0.47916666666666669</v>
      </c>
      <c r="I50" s="113">
        <v>0.66666666666666663</v>
      </c>
      <c r="J50" s="111" t="s">
        <v>241</v>
      </c>
      <c r="K50" s="167">
        <f t="shared" si="0"/>
        <v>0.75</v>
      </c>
      <c r="L50" s="113">
        <v>0.85416666666666663</v>
      </c>
      <c r="M50" s="111" t="s">
        <v>242</v>
      </c>
    </row>
    <row r="51" spans="1:13">
      <c r="A51" s="114" t="s">
        <v>318</v>
      </c>
      <c r="B51" s="115" t="s">
        <v>46</v>
      </c>
      <c r="C51" s="116">
        <v>46349</v>
      </c>
      <c r="D51" s="115" t="s">
        <v>238</v>
      </c>
      <c r="E51" s="117">
        <v>2</v>
      </c>
      <c r="F51" s="117" t="s">
        <v>244</v>
      </c>
      <c r="G51" s="117" t="s">
        <v>312</v>
      </c>
      <c r="H51" s="118">
        <v>0.5</v>
      </c>
      <c r="I51" s="119">
        <v>0.6875</v>
      </c>
      <c r="J51" s="117" t="s">
        <v>272</v>
      </c>
      <c r="K51" s="167">
        <f t="shared" si="0"/>
        <v>0.77083333333333337</v>
      </c>
      <c r="L51" s="119">
        <v>0.875</v>
      </c>
      <c r="M51" s="117" t="s">
        <v>242</v>
      </c>
    </row>
    <row r="52" spans="1:13">
      <c r="A52" s="108" t="s">
        <v>319</v>
      </c>
      <c r="B52" s="109" t="s">
        <v>46</v>
      </c>
      <c r="C52" s="110">
        <v>46351</v>
      </c>
      <c r="D52" s="109" t="s">
        <v>257</v>
      </c>
      <c r="E52" s="111">
        <v>1</v>
      </c>
      <c r="F52" s="111" t="s">
        <v>239</v>
      </c>
      <c r="G52" s="111" t="s">
        <v>308</v>
      </c>
      <c r="H52" s="112">
        <v>0.5</v>
      </c>
      <c r="I52" s="113">
        <v>0.6875</v>
      </c>
      <c r="J52" s="111" t="s">
        <v>272</v>
      </c>
      <c r="K52" s="167">
        <f t="shared" si="0"/>
        <v>0.77083333333333337</v>
      </c>
      <c r="L52" s="113">
        <v>0.875</v>
      </c>
      <c r="M52" s="111" t="s">
        <v>242</v>
      </c>
    </row>
    <row r="53" spans="1:13">
      <c r="A53" s="114" t="s">
        <v>320</v>
      </c>
      <c r="B53" s="115" t="s">
        <v>46</v>
      </c>
      <c r="C53" s="116">
        <v>46351</v>
      </c>
      <c r="D53" s="115" t="s">
        <v>257</v>
      </c>
      <c r="E53" s="117">
        <v>2</v>
      </c>
      <c r="F53" s="117" t="s">
        <v>244</v>
      </c>
      <c r="G53" s="117" t="s">
        <v>310</v>
      </c>
      <c r="H53" s="118">
        <v>0.58333333333333337</v>
      </c>
      <c r="I53" s="119">
        <v>0.77083333333333337</v>
      </c>
      <c r="J53" s="117" t="s">
        <v>255</v>
      </c>
      <c r="K53" s="167">
        <f t="shared" si="0"/>
        <v>0.85416666666666674</v>
      </c>
      <c r="L53" s="118">
        <v>0.95833333333333337</v>
      </c>
      <c r="M53" s="117" t="s">
        <v>242</v>
      </c>
    </row>
    <row r="54" spans="1:13">
      <c r="A54" s="108" t="s">
        <v>321</v>
      </c>
      <c r="B54" s="109" t="s">
        <v>46</v>
      </c>
      <c r="C54" s="110">
        <v>46352</v>
      </c>
      <c r="D54" s="109" t="s">
        <v>257</v>
      </c>
      <c r="E54" s="111">
        <v>1</v>
      </c>
      <c r="F54" s="111" t="s">
        <v>239</v>
      </c>
      <c r="G54" s="111" t="s">
        <v>314</v>
      </c>
      <c r="H54" s="112">
        <v>0.52083333333333337</v>
      </c>
      <c r="I54" s="113">
        <v>0.70833333333333337</v>
      </c>
      <c r="J54" s="111" t="s">
        <v>241</v>
      </c>
      <c r="K54" s="167">
        <f t="shared" si="0"/>
        <v>0.79166666666666674</v>
      </c>
      <c r="L54" s="113">
        <v>0.89583333333333337</v>
      </c>
      <c r="M54" s="111" t="s">
        <v>242</v>
      </c>
    </row>
    <row r="55" spans="1:13">
      <c r="A55" s="114" t="s">
        <v>322</v>
      </c>
      <c r="B55" s="115" t="s">
        <v>46</v>
      </c>
      <c r="C55" s="116">
        <v>46352</v>
      </c>
      <c r="D55" s="115" t="s">
        <v>257</v>
      </c>
      <c r="E55" s="117">
        <v>2</v>
      </c>
      <c r="F55" s="117" t="s">
        <v>244</v>
      </c>
      <c r="G55" s="117" t="s">
        <v>312</v>
      </c>
      <c r="H55" s="118">
        <v>0.60416666666666663</v>
      </c>
      <c r="I55" s="119">
        <v>0.79166666666666663</v>
      </c>
      <c r="J55" s="117" t="s">
        <v>261</v>
      </c>
      <c r="K55" s="167">
        <f t="shared" si="0"/>
        <v>0.875</v>
      </c>
      <c r="L55" s="119">
        <v>0.97916666666666663</v>
      </c>
      <c r="M55" s="117" t="s">
        <v>242</v>
      </c>
    </row>
    <row r="56" spans="1:13">
      <c r="A56" s="108" t="s">
        <v>323</v>
      </c>
      <c r="B56" s="109" t="s">
        <v>53</v>
      </c>
      <c r="C56" s="110">
        <v>46346</v>
      </c>
      <c r="D56" s="109" t="s">
        <v>238</v>
      </c>
      <c r="E56" s="111">
        <v>1</v>
      </c>
      <c r="F56" s="111" t="s">
        <v>239</v>
      </c>
      <c r="G56" s="111" t="s">
        <v>324</v>
      </c>
      <c r="H56" s="112">
        <v>0.47916666666666669</v>
      </c>
      <c r="I56" s="113">
        <v>0.66666666666666663</v>
      </c>
      <c r="J56" s="111" t="s">
        <v>258</v>
      </c>
      <c r="K56" s="167">
        <f t="shared" si="0"/>
        <v>0.75</v>
      </c>
      <c r="L56" s="113">
        <v>0.85416666666666663</v>
      </c>
      <c r="M56" s="111" t="s">
        <v>242</v>
      </c>
    </row>
    <row r="57" spans="1:13">
      <c r="A57" s="114" t="s">
        <v>325</v>
      </c>
      <c r="B57" s="115" t="s">
        <v>53</v>
      </c>
      <c r="C57" s="116">
        <v>46346</v>
      </c>
      <c r="D57" s="115" t="s">
        <v>238</v>
      </c>
      <c r="E57" s="117">
        <v>2</v>
      </c>
      <c r="F57" s="117" t="s">
        <v>244</v>
      </c>
      <c r="G57" s="117" t="s">
        <v>326</v>
      </c>
      <c r="H57" s="118">
        <v>0.60416666666666663</v>
      </c>
      <c r="I57" s="119">
        <v>0.79166666666666663</v>
      </c>
      <c r="J57" s="117" t="s">
        <v>255</v>
      </c>
      <c r="K57" s="167">
        <f t="shared" si="0"/>
        <v>0.875</v>
      </c>
      <c r="L57" s="119">
        <v>0.97916666666666663</v>
      </c>
      <c r="M57" s="117" t="s">
        <v>242</v>
      </c>
    </row>
    <row r="58" spans="1:13">
      <c r="A58" s="108" t="s">
        <v>327</v>
      </c>
      <c r="B58" s="109" t="s">
        <v>53</v>
      </c>
      <c r="C58" s="110">
        <v>46347</v>
      </c>
      <c r="D58" s="109" t="s">
        <v>238</v>
      </c>
      <c r="E58" s="111">
        <v>1</v>
      </c>
      <c r="F58" s="111" t="s">
        <v>239</v>
      </c>
      <c r="G58" s="111" t="s">
        <v>328</v>
      </c>
      <c r="H58" s="112">
        <v>0.5625</v>
      </c>
      <c r="I58" s="113">
        <v>0.75</v>
      </c>
      <c r="J58" s="111" t="s">
        <v>250</v>
      </c>
      <c r="K58" s="167">
        <f t="shared" si="0"/>
        <v>0.83333333333333337</v>
      </c>
      <c r="L58" s="113">
        <v>0.9375</v>
      </c>
      <c r="M58" s="111" t="s">
        <v>242</v>
      </c>
    </row>
    <row r="59" spans="1:13">
      <c r="A59" s="108" t="s">
        <v>329</v>
      </c>
      <c r="B59" s="109" t="s">
        <v>53</v>
      </c>
      <c r="C59" s="110">
        <v>46349</v>
      </c>
      <c r="D59" s="109" t="s">
        <v>238</v>
      </c>
      <c r="E59" s="111">
        <v>1</v>
      </c>
      <c r="F59" s="111" t="s">
        <v>239</v>
      </c>
      <c r="G59" s="111" t="s">
        <v>326</v>
      </c>
      <c r="H59" s="112">
        <v>0.45833333333333331</v>
      </c>
      <c r="I59" s="113">
        <v>0.64583333333333337</v>
      </c>
      <c r="J59" s="111" t="s">
        <v>291</v>
      </c>
      <c r="K59" s="167">
        <f t="shared" si="0"/>
        <v>0.72916666666666674</v>
      </c>
      <c r="L59" s="113">
        <v>0.83333333333333337</v>
      </c>
      <c r="M59" s="111" t="s">
        <v>242</v>
      </c>
    </row>
    <row r="60" spans="1:13">
      <c r="A60" s="114" t="s">
        <v>330</v>
      </c>
      <c r="B60" s="115" t="s">
        <v>53</v>
      </c>
      <c r="C60" s="116">
        <v>46349</v>
      </c>
      <c r="D60" s="115" t="s">
        <v>238</v>
      </c>
      <c r="E60" s="117">
        <v>2</v>
      </c>
      <c r="F60" s="117" t="s">
        <v>244</v>
      </c>
      <c r="G60" s="117" t="s">
        <v>324</v>
      </c>
      <c r="H60" s="118">
        <v>0.58333333333333337</v>
      </c>
      <c r="I60" s="119">
        <v>0.77083333333333337</v>
      </c>
      <c r="J60" s="117" t="s">
        <v>261</v>
      </c>
      <c r="K60" s="167">
        <f t="shared" si="0"/>
        <v>0.85416666666666674</v>
      </c>
      <c r="L60" s="118">
        <v>0.95833333333333337</v>
      </c>
      <c r="M60" s="117" t="s">
        <v>242</v>
      </c>
    </row>
    <row r="61" spans="1:13">
      <c r="A61" s="108" t="s">
        <v>331</v>
      </c>
      <c r="B61" s="109" t="s">
        <v>53</v>
      </c>
      <c r="C61" s="110">
        <v>46350</v>
      </c>
      <c r="D61" s="109" t="s">
        <v>238</v>
      </c>
      <c r="E61" s="111">
        <v>1</v>
      </c>
      <c r="F61" s="111" t="s">
        <v>239</v>
      </c>
      <c r="G61" s="111" t="s">
        <v>328</v>
      </c>
      <c r="H61" s="112">
        <v>0.45833333333333331</v>
      </c>
      <c r="I61" s="113">
        <v>0.64583333333333337</v>
      </c>
      <c r="J61" s="111" t="s">
        <v>291</v>
      </c>
      <c r="K61" s="167">
        <f t="shared" si="0"/>
        <v>0.72916666666666674</v>
      </c>
      <c r="L61" s="113">
        <v>0.83333333333333337</v>
      </c>
      <c r="M61" s="111" t="s">
        <v>242</v>
      </c>
    </row>
    <row r="62" spans="1:13">
      <c r="A62" s="108" t="s">
        <v>332</v>
      </c>
      <c r="B62" s="109" t="s">
        <v>53</v>
      </c>
      <c r="C62" s="110">
        <v>46352</v>
      </c>
      <c r="D62" s="109" t="s">
        <v>257</v>
      </c>
      <c r="E62" s="111">
        <v>1</v>
      </c>
      <c r="F62" s="111" t="s">
        <v>239</v>
      </c>
      <c r="G62" s="111" t="s">
        <v>324</v>
      </c>
      <c r="H62" s="112">
        <v>0.47916666666666669</v>
      </c>
      <c r="I62" s="113">
        <v>0.66666666666666663</v>
      </c>
      <c r="J62" s="111" t="s">
        <v>258</v>
      </c>
      <c r="K62" s="167">
        <f t="shared" si="0"/>
        <v>0.75</v>
      </c>
      <c r="L62" s="113">
        <v>0.85416666666666663</v>
      </c>
      <c r="M62" s="111" t="s">
        <v>242</v>
      </c>
    </row>
    <row r="63" spans="1:13">
      <c r="A63" s="114" t="s">
        <v>333</v>
      </c>
      <c r="B63" s="115" t="s">
        <v>53</v>
      </c>
      <c r="C63" s="116">
        <v>46352</v>
      </c>
      <c r="D63" s="115" t="s">
        <v>257</v>
      </c>
      <c r="E63" s="117">
        <v>2</v>
      </c>
      <c r="F63" s="117" t="s">
        <v>244</v>
      </c>
      <c r="G63" s="117" t="s">
        <v>326</v>
      </c>
      <c r="H63" s="118">
        <v>0.5625</v>
      </c>
      <c r="I63" s="119">
        <v>0.75</v>
      </c>
      <c r="J63" s="117" t="s">
        <v>250</v>
      </c>
      <c r="K63" s="167">
        <f t="shared" si="0"/>
        <v>0.83333333333333337</v>
      </c>
      <c r="L63" s="119">
        <v>0.9375</v>
      </c>
      <c r="M63" s="117" t="s">
        <v>242</v>
      </c>
    </row>
    <row r="64" spans="1:13">
      <c r="A64" s="108" t="s">
        <v>334</v>
      </c>
      <c r="B64" s="109" t="s">
        <v>53</v>
      </c>
      <c r="C64" s="110">
        <v>46353</v>
      </c>
      <c r="D64" s="109" t="s">
        <v>257</v>
      </c>
      <c r="E64" s="111">
        <v>1</v>
      </c>
      <c r="F64" s="111" t="s">
        <v>239</v>
      </c>
      <c r="G64" s="111" t="s">
        <v>328</v>
      </c>
      <c r="H64" s="112">
        <v>0.52083333333333337</v>
      </c>
      <c r="I64" s="113">
        <v>0.70833333333333337</v>
      </c>
      <c r="J64" s="111" t="s">
        <v>241</v>
      </c>
      <c r="K64" s="167">
        <f t="shared" si="0"/>
        <v>0.79166666666666674</v>
      </c>
      <c r="L64" s="113">
        <v>0.89583333333333337</v>
      </c>
      <c r="M64" s="111" t="s">
        <v>242</v>
      </c>
    </row>
    <row r="65" spans="1:13">
      <c r="A65" s="108" t="s">
        <v>335</v>
      </c>
      <c r="B65" s="109" t="s">
        <v>60</v>
      </c>
      <c r="C65" s="110">
        <v>46345</v>
      </c>
      <c r="D65" s="109" t="s">
        <v>238</v>
      </c>
      <c r="E65" s="109">
        <v>1</v>
      </c>
      <c r="F65" s="111" t="s">
        <v>239</v>
      </c>
      <c r="G65" s="111" t="s">
        <v>336</v>
      </c>
      <c r="H65" s="112">
        <v>0.47916666666666669</v>
      </c>
      <c r="I65" s="112">
        <v>0.66666666666666663</v>
      </c>
      <c r="J65" s="111" t="s">
        <v>291</v>
      </c>
      <c r="K65" s="167">
        <f t="shared" si="0"/>
        <v>0.75</v>
      </c>
      <c r="L65" s="113">
        <v>0.85416666666666663</v>
      </c>
      <c r="M65" s="109" t="s">
        <v>242</v>
      </c>
    </row>
    <row r="66" spans="1:13">
      <c r="A66" s="114" t="s">
        <v>337</v>
      </c>
      <c r="B66" s="115" t="s">
        <v>60</v>
      </c>
      <c r="C66" s="116">
        <v>46345</v>
      </c>
      <c r="D66" s="115" t="s">
        <v>238</v>
      </c>
      <c r="E66" s="115">
        <v>2</v>
      </c>
      <c r="F66" s="117" t="s">
        <v>244</v>
      </c>
      <c r="G66" s="117" t="s">
        <v>338</v>
      </c>
      <c r="H66" s="118">
        <v>0.47916666666666669</v>
      </c>
      <c r="I66" s="118">
        <v>0.66666666666666663</v>
      </c>
      <c r="J66" s="117" t="s">
        <v>258</v>
      </c>
      <c r="K66" s="167">
        <f t="shared" si="0"/>
        <v>0.75</v>
      </c>
      <c r="L66" s="118">
        <v>0.85416666666666663</v>
      </c>
      <c r="M66" s="115" t="s">
        <v>242</v>
      </c>
    </row>
    <row r="67" spans="1:13">
      <c r="A67" s="120" t="s">
        <v>339</v>
      </c>
      <c r="B67" s="121" t="s">
        <v>60</v>
      </c>
      <c r="C67" s="122">
        <v>46345</v>
      </c>
      <c r="D67" s="121" t="s">
        <v>238</v>
      </c>
      <c r="E67" s="121">
        <v>3</v>
      </c>
      <c r="F67" s="123" t="s">
        <v>248</v>
      </c>
      <c r="G67" s="123" t="s">
        <v>340</v>
      </c>
      <c r="H67" s="124">
        <v>0.52083333333333337</v>
      </c>
      <c r="I67" s="124">
        <v>0.70833333333333337</v>
      </c>
      <c r="J67" s="123" t="s">
        <v>272</v>
      </c>
      <c r="K67" s="167">
        <f t="shared" si="0"/>
        <v>0.79166666666666674</v>
      </c>
      <c r="L67" s="125">
        <v>0.89583333333333337</v>
      </c>
      <c r="M67" s="121" t="s">
        <v>242</v>
      </c>
    </row>
    <row r="68" spans="1:13">
      <c r="A68" s="107" t="s">
        <v>341</v>
      </c>
      <c r="B68" s="101" t="s">
        <v>60</v>
      </c>
      <c r="C68" s="104">
        <v>46345</v>
      </c>
      <c r="D68" s="101" t="s">
        <v>238</v>
      </c>
      <c r="E68" s="101">
        <v>4</v>
      </c>
      <c r="F68" s="99" t="s">
        <v>342</v>
      </c>
      <c r="G68" s="99" t="s">
        <v>343</v>
      </c>
      <c r="H68" s="103">
        <v>0.60416666666666663</v>
      </c>
      <c r="I68" s="103">
        <v>0.79166666666666663</v>
      </c>
      <c r="J68" s="99" t="s">
        <v>261</v>
      </c>
      <c r="K68" s="167">
        <f t="shared" si="0"/>
        <v>0.875</v>
      </c>
      <c r="L68" s="102">
        <v>0.97916666666666663</v>
      </c>
      <c r="M68" s="101" t="s">
        <v>242</v>
      </c>
    </row>
    <row r="69" spans="1:13">
      <c r="A69" s="108" t="s">
        <v>344</v>
      </c>
      <c r="B69" s="109" t="s">
        <v>60</v>
      </c>
      <c r="C69" s="110">
        <v>46346</v>
      </c>
      <c r="D69" s="109" t="s">
        <v>238</v>
      </c>
      <c r="E69" s="111">
        <v>1</v>
      </c>
      <c r="F69" s="111" t="s">
        <v>239</v>
      </c>
      <c r="G69" s="111" t="s">
        <v>345</v>
      </c>
      <c r="H69" s="112">
        <v>0.47916666666666669</v>
      </c>
      <c r="I69" s="113">
        <v>0.66666666666666663</v>
      </c>
      <c r="J69" s="111" t="s">
        <v>250</v>
      </c>
      <c r="K69" s="167">
        <f t="shared" ref="K69:K132" si="1">I69+TIME(2,0,0)</f>
        <v>0.75</v>
      </c>
      <c r="L69" s="113">
        <v>0.85416666666666663</v>
      </c>
      <c r="M69" s="111" t="s">
        <v>242</v>
      </c>
    </row>
    <row r="70" spans="1:13">
      <c r="A70" s="114" t="s">
        <v>346</v>
      </c>
      <c r="B70" s="115" t="s">
        <v>60</v>
      </c>
      <c r="C70" s="116">
        <v>46346</v>
      </c>
      <c r="D70" s="115" t="s">
        <v>238</v>
      </c>
      <c r="E70" s="117">
        <v>2</v>
      </c>
      <c r="F70" s="117" t="s">
        <v>244</v>
      </c>
      <c r="G70" s="117" t="s">
        <v>347</v>
      </c>
      <c r="H70" s="118">
        <v>0.47916666666666669</v>
      </c>
      <c r="I70" s="119">
        <v>0.66666666666666663</v>
      </c>
      <c r="J70" s="117" t="s">
        <v>291</v>
      </c>
      <c r="K70" s="167">
        <f t="shared" si="1"/>
        <v>0.75</v>
      </c>
      <c r="L70" s="118">
        <v>0.85416666666666663</v>
      </c>
      <c r="M70" s="117" t="s">
        <v>242</v>
      </c>
    </row>
    <row r="71" spans="1:13">
      <c r="A71" s="120" t="s">
        <v>348</v>
      </c>
      <c r="B71" s="121" t="s">
        <v>60</v>
      </c>
      <c r="C71" s="122">
        <v>46346</v>
      </c>
      <c r="D71" s="121" t="s">
        <v>238</v>
      </c>
      <c r="E71" s="123">
        <v>3</v>
      </c>
      <c r="F71" s="123" t="s">
        <v>248</v>
      </c>
      <c r="G71" s="123" t="s">
        <v>349</v>
      </c>
      <c r="H71" s="124">
        <v>0.5</v>
      </c>
      <c r="I71" s="125">
        <v>0.6875</v>
      </c>
      <c r="J71" s="123" t="s">
        <v>241</v>
      </c>
      <c r="K71" s="167">
        <f t="shared" si="1"/>
        <v>0.77083333333333337</v>
      </c>
      <c r="L71" s="125">
        <v>0.875</v>
      </c>
      <c r="M71" s="123" t="s">
        <v>242</v>
      </c>
    </row>
    <row r="72" spans="1:13">
      <c r="A72" s="107" t="s">
        <v>350</v>
      </c>
      <c r="B72" s="101" t="s">
        <v>60</v>
      </c>
      <c r="C72" s="104">
        <v>46346</v>
      </c>
      <c r="D72" s="101" t="s">
        <v>238</v>
      </c>
      <c r="E72" s="99">
        <v>4</v>
      </c>
      <c r="F72" s="99" t="s">
        <v>342</v>
      </c>
      <c r="G72" s="99" t="s">
        <v>351</v>
      </c>
      <c r="H72" s="103">
        <v>0.60416666666666663</v>
      </c>
      <c r="I72" s="102">
        <v>0.79166666666666663</v>
      </c>
      <c r="J72" s="99" t="s">
        <v>352</v>
      </c>
      <c r="K72" s="167">
        <f t="shared" si="1"/>
        <v>0.875</v>
      </c>
      <c r="L72" s="102">
        <v>0.97916666666666663</v>
      </c>
      <c r="M72" s="99" t="s">
        <v>242</v>
      </c>
    </row>
    <row r="73" spans="1:13">
      <c r="A73" s="108" t="s">
        <v>353</v>
      </c>
      <c r="B73" s="109" t="s">
        <v>60</v>
      </c>
      <c r="C73" s="110">
        <v>46347</v>
      </c>
      <c r="D73" s="109" t="s">
        <v>238</v>
      </c>
      <c r="E73" s="111">
        <v>1</v>
      </c>
      <c r="F73" s="111" t="s">
        <v>239</v>
      </c>
      <c r="G73" s="111" t="s">
        <v>354</v>
      </c>
      <c r="H73" s="112">
        <v>0.45833333333333331</v>
      </c>
      <c r="I73" s="113">
        <v>0.64583333333333337</v>
      </c>
      <c r="J73" s="111" t="s">
        <v>258</v>
      </c>
      <c r="K73" s="167">
        <f t="shared" si="1"/>
        <v>0.72916666666666674</v>
      </c>
      <c r="L73" s="113">
        <v>0.83333333333333337</v>
      </c>
      <c r="M73" s="111" t="s">
        <v>242</v>
      </c>
    </row>
    <row r="74" spans="1:13">
      <c r="A74" s="114" t="s">
        <v>355</v>
      </c>
      <c r="B74" s="115" t="s">
        <v>60</v>
      </c>
      <c r="C74" s="116">
        <v>46347</v>
      </c>
      <c r="D74" s="115" t="s">
        <v>238</v>
      </c>
      <c r="E74" s="117">
        <v>2</v>
      </c>
      <c r="F74" s="117" t="s">
        <v>244</v>
      </c>
      <c r="G74" s="117" t="s">
        <v>356</v>
      </c>
      <c r="H74" s="118">
        <v>0.5</v>
      </c>
      <c r="I74" s="119">
        <v>0.6875</v>
      </c>
      <c r="J74" s="117" t="s">
        <v>272</v>
      </c>
      <c r="K74" s="167">
        <f t="shared" si="1"/>
        <v>0.77083333333333337</v>
      </c>
      <c r="L74" s="119">
        <v>0.875</v>
      </c>
      <c r="M74" s="117" t="s">
        <v>242</v>
      </c>
    </row>
    <row r="75" spans="1:13">
      <c r="A75" s="120" t="s">
        <v>357</v>
      </c>
      <c r="B75" s="121" t="s">
        <v>60</v>
      </c>
      <c r="C75" s="122">
        <v>46347</v>
      </c>
      <c r="D75" s="121" t="s">
        <v>238</v>
      </c>
      <c r="E75" s="123">
        <v>3</v>
      </c>
      <c r="F75" s="123" t="s">
        <v>248</v>
      </c>
      <c r="G75" s="123" t="s">
        <v>358</v>
      </c>
      <c r="H75" s="124">
        <v>0.58333333333333337</v>
      </c>
      <c r="I75" s="125">
        <v>0.77083333333333337</v>
      </c>
      <c r="J75" s="123" t="s">
        <v>255</v>
      </c>
      <c r="K75" s="167">
        <f t="shared" si="1"/>
        <v>0.85416666666666674</v>
      </c>
      <c r="L75" s="125">
        <v>0.95833333333333337</v>
      </c>
      <c r="M75" s="123" t="s">
        <v>242</v>
      </c>
    </row>
    <row r="76" spans="1:13">
      <c r="A76" s="108" t="s">
        <v>359</v>
      </c>
      <c r="B76" s="109" t="s">
        <v>60</v>
      </c>
      <c r="C76" s="110">
        <v>46348</v>
      </c>
      <c r="D76" s="109" t="s">
        <v>238</v>
      </c>
      <c r="E76" s="111">
        <v>1</v>
      </c>
      <c r="F76" s="111" t="s">
        <v>239</v>
      </c>
      <c r="G76" s="111" t="s">
        <v>336</v>
      </c>
      <c r="H76" s="112">
        <v>0.47916666666666669</v>
      </c>
      <c r="I76" s="113">
        <v>0.66666666666666663</v>
      </c>
      <c r="J76" s="111" t="s">
        <v>241</v>
      </c>
      <c r="K76" s="167">
        <f t="shared" si="1"/>
        <v>0.75</v>
      </c>
      <c r="L76" s="113">
        <v>0.85416666666666663</v>
      </c>
      <c r="M76" s="111" t="s">
        <v>242</v>
      </c>
    </row>
    <row r="77" spans="1:13">
      <c r="A77" s="114" t="s">
        <v>360</v>
      </c>
      <c r="B77" s="115" t="s">
        <v>60</v>
      </c>
      <c r="C77" s="116">
        <v>46348</v>
      </c>
      <c r="D77" s="115" t="s">
        <v>238</v>
      </c>
      <c r="E77" s="117">
        <v>2</v>
      </c>
      <c r="F77" s="117" t="s">
        <v>244</v>
      </c>
      <c r="G77" s="117" t="s">
        <v>340</v>
      </c>
      <c r="H77" s="118">
        <v>0.5625</v>
      </c>
      <c r="I77" s="119">
        <v>0.75</v>
      </c>
      <c r="J77" s="117" t="s">
        <v>250</v>
      </c>
      <c r="K77" s="167">
        <f t="shared" si="1"/>
        <v>0.83333333333333337</v>
      </c>
      <c r="L77" s="119">
        <v>0.9375</v>
      </c>
      <c r="M77" s="117" t="s">
        <v>242</v>
      </c>
    </row>
    <row r="78" spans="1:13">
      <c r="A78" s="120" t="s">
        <v>361</v>
      </c>
      <c r="B78" s="121" t="s">
        <v>60</v>
      </c>
      <c r="C78" s="122">
        <v>46348</v>
      </c>
      <c r="D78" s="121" t="s">
        <v>238</v>
      </c>
      <c r="E78" s="123">
        <v>3</v>
      </c>
      <c r="F78" s="123" t="s">
        <v>248</v>
      </c>
      <c r="G78" s="123" t="s">
        <v>343</v>
      </c>
      <c r="H78" s="124">
        <v>0.58333333333333337</v>
      </c>
      <c r="I78" s="125">
        <v>0.77083333333333337</v>
      </c>
      <c r="J78" s="123" t="s">
        <v>255</v>
      </c>
      <c r="K78" s="167">
        <f t="shared" si="1"/>
        <v>0.85416666666666674</v>
      </c>
      <c r="L78" s="125">
        <v>0.95833333333333337</v>
      </c>
      <c r="M78" s="123" t="s">
        <v>242</v>
      </c>
    </row>
    <row r="79" spans="1:13">
      <c r="A79" s="107" t="s">
        <v>362</v>
      </c>
      <c r="B79" s="101" t="s">
        <v>60</v>
      </c>
      <c r="C79" s="104">
        <v>46348</v>
      </c>
      <c r="D79" s="101" t="s">
        <v>238</v>
      </c>
      <c r="E79" s="99">
        <v>4</v>
      </c>
      <c r="F79" s="99" t="s">
        <v>342</v>
      </c>
      <c r="G79" s="99" t="s">
        <v>338</v>
      </c>
      <c r="H79" s="103">
        <v>0.58333333333333337</v>
      </c>
      <c r="I79" s="102">
        <v>0.77083333333333337</v>
      </c>
      <c r="J79" s="99" t="s">
        <v>261</v>
      </c>
      <c r="K79" s="167">
        <f t="shared" si="1"/>
        <v>0.85416666666666674</v>
      </c>
      <c r="L79" s="102">
        <v>0.95833333333333337</v>
      </c>
      <c r="M79" s="99" t="s">
        <v>242</v>
      </c>
    </row>
    <row r="80" spans="1:13">
      <c r="A80" s="108" t="s">
        <v>363</v>
      </c>
      <c r="B80" s="109" t="s">
        <v>60</v>
      </c>
      <c r="C80" s="110">
        <v>46349</v>
      </c>
      <c r="D80" s="109" t="s">
        <v>238</v>
      </c>
      <c r="E80" s="111">
        <v>1</v>
      </c>
      <c r="F80" s="111" t="s">
        <v>239</v>
      </c>
      <c r="G80" s="111" t="s">
        <v>347</v>
      </c>
      <c r="H80" s="112">
        <v>0.45833333333333331</v>
      </c>
      <c r="I80" s="113">
        <v>0.64583333333333337</v>
      </c>
      <c r="J80" s="111" t="s">
        <v>258</v>
      </c>
      <c r="K80" s="167">
        <f t="shared" si="1"/>
        <v>0.72916666666666674</v>
      </c>
      <c r="L80" s="113">
        <v>0.83333333333333337</v>
      </c>
      <c r="M80" s="111" t="s">
        <v>242</v>
      </c>
    </row>
    <row r="81" spans="1:13">
      <c r="A81" s="114" t="s">
        <v>364</v>
      </c>
      <c r="B81" s="115" t="s">
        <v>60</v>
      </c>
      <c r="C81" s="116">
        <v>46349</v>
      </c>
      <c r="D81" s="115" t="s">
        <v>238</v>
      </c>
      <c r="E81" s="117">
        <v>2</v>
      </c>
      <c r="F81" s="117" t="s">
        <v>244</v>
      </c>
      <c r="G81" s="117" t="s">
        <v>345</v>
      </c>
      <c r="H81" s="118">
        <v>0.54166666666666663</v>
      </c>
      <c r="I81" s="119">
        <v>0.72916666666666663</v>
      </c>
      <c r="J81" s="117" t="s">
        <v>246</v>
      </c>
      <c r="K81" s="167">
        <f t="shared" si="1"/>
        <v>0.8125</v>
      </c>
      <c r="L81" s="119">
        <v>0.91666666666666663</v>
      </c>
      <c r="M81" s="117" t="s">
        <v>242</v>
      </c>
    </row>
    <row r="82" spans="1:13">
      <c r="A82" s="120" t="s">
        <v>365</v>
      </c>
      <c r="B82" s="121" t="s">
        <v>60</v>
      </c>
      <c r="C82" s="122">
        <v>46349</v>
      </c>
      <c r="D82" s="121" t="s">
        <v>238</v>
      </c>
      <c r="E82" s="123">
        <v>3</v>
      </c>
      <c r="F82" s="123" t="s">
        <v>248</v>
      </c>
      <c r="G82" s="123" t="s">
        <v>351</v>
      </c>
      <c r="H82" s="124">
        <v>0.5625</v>
      </c>
      <c r="I82" s="125">
        <v>0.75</v>
      </c>
      <c r="J82" s="123" t="s">
        <v>250</v>
      </c>
      <c r="K82" s="167">
        <f t="shared" si="1"/>
        <v>0.83333333333333337</v>
      </c>
      <c r="L82" s="125">
        <v>0.9375</v>
      </c>
      <c r="M82" s="123" t="s">
        <v>242</v>
      </c>
    </row>
    <row r="83" spans="1:13">
      <c r="A83" s="107" t="s">
        <v>366</v>
      </c>
      <c r="B83" s="101" t="s">
        <v>60</v>
      </c>
      <c r="C83" s="104">
        <v>46349</v>
      </c>
      <c r="D83" s="101" t="s">
        <v>238</v>
      </c>
      <c r="E83" s="99">
        <v>4</v>
      </c>
      <c r="F83" s="99" t="s">
        <v>342</v>
      </c>
      <c r="G83" s="99" t="s">
        <v>349</v>
      </c>
      <c r="H83" s="103">
        <v>0.58333333333333337</v>
      </c>
      <c r="I83" s="102">
        <v>0.77083333333333337</v>
      </c>
      <c r="J83" s="99" t="s">
        <v>255</v>
      </c>
      <c r="K83" s="167">
        <f t="shared" si="1"/>
        <v>0.85416666666666674</v>
      </c>
      <c r="L83" s="102">
        <v>0.95833333333333337</v>
      </c>
      <c r="M83" s="99" t="s">
        <v>242</v>
      </c>
    </row>
    <row r="84" spans="1:13">
      <c r="A84" s="108" t="s">
        <v>367</v>
      </c>
      <c r="B84" s="109" t="s">
        <v>60</v>
      </c>
      <c r="C84" s="110">
        <v>46350</v>
      </c>
      <c r="D84" s="109" t="s">
        <v>238</v>
      </c>
      <c r="E84" s="111">
        <v>1</v>
      </c>
      <c r="F84" s="111" t="s">
        <v>239</v>
      </c>
      <c r="G84" s="111" t="s">
        <v>358</v>
      </c>
      <c r="H84" s="112">
        <v>0.45833333333333331</v>
      </c>
      <c r="I84" s="113">
        <v>0.64583333333333337</v>
      </c>
      <c r="J84" s="111" t="s">
        <v>258</v>
      </c>
      <c r="K84" s="167">
        <f t="shared" si="1"/>
        <v>0.72916666666666674</v>
      </c>
      <c r="L84" s="113">
        <v>0.83333333333333337</v>
      </c>
      <c r="M84" s="111" t="s">
        <v>242</v>
      </c>
    </row>
    <row r="85" spans="1:13">
      <c r="A85" s="114" t="s">
        <v>368</v>
      </c>
      <c r="B85" s="115" t="s">
        <v>60</v>
      </c>
      <c r="C85" s="116">
        <v>46350</v>
      </c>
      <c r="D85" s="115" t="s">
        <v>238</v>
      </c>
      <c r="E85" s="117">
        <v>2</v>
      </c>
      <c r="F85" s="117" t="s">
        <v>244</v>
      </c>
      <c r="G85" s="117" t="s">
        <v>354</v>
      </c>
      <c r="H85" s="118">
        <v>0.47916666666666669</v>
      </c>
      <c r="I85" s="119">
        <v>0.66666666666666663</v>
      </c>
      <c r="J85" s="117" t="s">
        <v>241</v>
      </c>
      <c r="K85" s="167">
        <f t="shared" si="1"/>
        <v>0.75</v>
      </c>
      <c r="L85" s="119">
        <v>0.85416666666666663</v>
      </c>
      <c r="M85" s="117" t="s">
        <v>242</v>
      </c>
    </row>
    <row r="86" spans="1:13">
      <c r="A86" s="120" t="s">
        <v>369</v>
      </c>
      <c r="B86" s="121" t="s">
        <v>60</v>
      </c>
      <c r="C86" s="122">
        <v>46350</v>
      </c>
      <c r="D86" s="121" t="s">
        <v>238</v>
      </c>
      <c r="E86" s="123">
        <v>3</v>
      </c>
      <c r="F86" s="123" t="s">
        <v>248</v>
      </c>
      <c r="G86" s="123" t="s">
        <v>356</v>
      </c>
      <c r="H86" s="124">
        <v>0.54166666666666663</v>
      </c>
      <c r="I86" s="125">
        <v>0.72916666666666663</v>
      </c>
      <c r="J86" s="123" t="s">
        <v>246</v>
      </c>
      <c r="K86" s="167">
        <f t="shared" si="1"/>
        <v>0.8125</v>
      </c>
      <c r="L86" s="125">
        <v>0.91666666666666663</v>
      </c>
      <c r="M86" s="123" t="s">
        <v>242</v>
      </c>
    </row>
    <row r="87" spans="1:13">
      <c r="A87" s="108" t="s">
        <v>370</v>
      </c>
      <c r="B87" s="109" t="s">
        <v>60</v>
      </c>
      <c r="C87" s="110">
        <v>46351</v>
      </c>
      <c r="D87" s="109" t="s">
        <v>257</v>
      </c>
      <c r="E87" s="111">
        <v>1</v>
      </c>
      <c r="F87" s="111" t="s">
        <v>239</v>
      </c>
      <c r="G87" s="111" t="s">
        <v>336</v>
      </c>
      <c r="H87" s="112">
        <v>0.45833333333333331</v>
      </c>
      <c r="I87" s="113">
        <v>0.64583333333333337</v>
      </c>
      <c r="J87" s="111" t="s">
        <v>291</v>
      </c>
      <c r="K87" s="167">
        <f t="shared" si="1"/>
        <v>0.72916666666666674</v>
      </c>
      <c r="L87" s="113">
        <v>0.83333333333333337</v>
      </c>
      <c r="M87" s="111" t="s">
        <v>242</v>
      </c>
    </row>
    <row r="88" spans="1:13">
      <c r="A88" s="114" t="s">
        <v>371</v>
      </c>
      <c r="B88" s="115" t="s">
        <v>60</v>
      </c>
      <c r="C88" s="116">
        <v>46351</v>
      </c>
      <c r="D88" s="115" t="s">
        <v>257</v>
      </c>
      <c r="E88" s="117">
        <v>2</v>
      </c>
      <c r="F88" s="117" t="s">
        <v>244</v>
      </c>
      <c r="G88" s="117" t="s">
        <v>340</v>
      </c>
      <c r="H88" s="118">
        <v>0.5</v>
      </c>
      <c r="I88" s="119">
        <v>0.6875</v>
      </c>
      <c r="J88" s="117" t="s">
        <v>246</v>
      </c>
      <c r="K88" s="167">
        <f t="shared" si="1"/>
        <v>0.77083333333333337</v>
      </c>
      <c r="L88" s="119">
        <v>0.875</v>
      </c>
      <c r="M88" s="117" t="s">
        <v>242</v>
      </c>
    </row>
    <row r="89" spans="1:13">
      <c r="A89" s="120" t="s">
        <v>372</v>
      </c>
      <c r="B89" s="121" t="s">
        <v>60</v>
      </c>
      <c r="C89" s="122">
        <v>46351</v>
      </c>
      <c r="D89" s="121" t="s">
        <v>257</v>
      </c>
      <c r="E89" s="123">
        <v>3</v>
      </c>
      <c r="F89" s="123" t="s">
        <v>248</v>
      </c>
      <c r="G89" s="123" t="s">
        <v>338</v>
      </c>
      <c r="H89" s="124">
        <v>0.5</v>
      </c>
      <c r="I89" s="125">
        <v>0.6875</v>
      </c>
      <c r="J89" s="123" t="s">
        <v>241</v>
      </c>
      <c r="K89" s="167">
        <f t="shared" si="1"/>
        <v>0.77083333333333337</v>
      </c>
      <c r="L89" s="125">
        <v>0.875</v>
      </c>
      <c r="M89" s="123" t="s">
        <v>242</v>
      </c>
    </row>
    <row r="90" spans="1:13">
      <c r="A90" s="107" t="s">
        <v>373</v>
      </c>
      <c r="B90" s="101" t="s">
        <v>60</v>
      </c>
      <c r="C90" s="104">
        <v>46351</v>
      </c>
      <c r="D90" s="101" t="s">
        <v>257</v>
      </c>
      <c r="E90" s="99">
        <v>4</v>
      </c>
      <c r="F90" s="99" t="s">
        <v>342</v>
      </c>
      <c r="G90" s="99" t="s">
        <v>343</v>
      </c>
      <c r="H90" s="103">
        <v>0.58333333333333337</v>
      </c>
      <c r="I90" s="102">
        <v>0.77083333333333337</v>
      </c>
      <c r="J90" s="99" t="s">
        <v>255</v>
      </c>
      <c r="K90" s="167">
        <f t="shared" si="1"/>
        <v>0.85416666666666674</v>
      </c>
      <c r="L90" s="102">
        <v>0.95833333333333337</v>
      </c>
      <c r="M90" s="99" t="s">
        <v>242</v>
      </c>
    </row>
    <row r="91" spans="1:13">
      <c r="A91" s="108" t="s">
        <v>374</v>
      </c>
      <c r="B91" s="109" t="s">
        <v>60</v>
      </c>
      <c r="C91" s="110">
        <v>46352</v>
      </c>
      <c r="D91" s="109" t="s">
        <v>257</v>
      </c>
      <c r="E91" s="111">
        <v>1</v>
      </c>
      <c r="F91" s="111" t="s">
        <v>239</v>
      </c>
      <c r="G91" s="111" t="s">
        <v>349</v>
      </c>
      <c r="H91" s="112">
        <v>0.47916666666666669</v>
      </c>
      <c r="I91" s="113">
        <v>0.66666666666666663</v>
      </c>
      <c r="J91" s="111" t="s">
        <v>258</v>
      </c>
      <c r="K91" s="167">
        <f t="shared" si="1"/>
        <v>0.75</v>
      </c>
      <c r="L91" s="113">
        <v>0.85416666666666663</v>
      </c>
      <c r="M91" s="111" t="s">
        <v>242</v>
      </c>
    </row>
    <row r="92" spans="1:13">
      <c r="A92" s="114" t="s">
        <v>375</v>
      </c>
      <c r="B92" s="115" t="s">
        <v>60</v>
      </c>
      <c r="C92" s="116">
        <v>46352</v>
      </c>
      <c r="D92" s="115" t="s">
        <v>257</v>
      </c>
      <c r="E92" s="117">
        <v>2</v>
      </c>
      <c r="F92" s="117" t="s">
        <v>244</v>
      </c>
      <c r="G92" s="117" t="s">
        <v>345</v>
      </c>
      <c r="H92" s="118">
        <v>0.52083333333333337</v>
      </c>
      <c r="I92" s="119">
        <v>0.70833333333333337</v>
      </c>
      <c r="J92" s="117" t="s">
        <v>241</v>
      </c>
      <c r="K92" s="167">
        <f t="shared" si="1"/>
        <v>0.79166666666666674</v>
      </c>
      <c r="L92" s="119">
        <v>0.89583333333333337</v>
      </c>
      <c r="M92" s="117" t="s">
        <v>242</v>
      </c>
    </row>
    <row r="93" spans="1:13">
      <c r="A93" s="120" t="s">
        <v>376</v>
      </c>
      <c r="B93" s="121" t="s">
        <v>60</v>
      </c>
      <c r="C93" s="122">
        <v>46352</v>
      </c>
      <c r="D93" s="121" t="s">
        <v>257</v>
      </c>
      <c r="E93" s="123">
        <v>3</v>
      </c>
      <c r="F93" s="123" t="s">
        <v>248</v>
      </c>
      <c r="G93" s="123" t="s">
        <v>351</v>
      </c>
      <c r="H93" s="124">
        <v>0.5625</v>
      </c>
      <c r="I93" s="125">
        <v>0.75</v>
      </c>
      <c r="J93" s="123" t="s">
        <v>246</v>
      </c>
      <c r="K93" s="167">
        <f t="shared" si="1"/>
        <v>0.83333333333333337</v>
      </c>
      <c r="L93" s="125">
        <v>0.9375</v>
      </c>
      <c r="M93" s="123" t="s">
        <v>242</v>
      </c>
    </row>
    <row r="94" spans="1:13">
      <c r="A94" s="107" t="s">
        <v>377</v>
      </c>
      <c r="B94" s="101" t="s">
        <v>60</v>
      </c>
      <c r="C94" s="104">
        <v>46352</v>
      </c>
      <c r="D94" s="101" t="s">
        <v>257</v>
      </c>
      <c r="E94" s="99">
        <v>4</v>
      </c>
      <c r="F94" s="99" t="s">
        <v>342</v>
      </c>
      <c r="G94" s="99" t="s">
        <v>347</v>
      </c>
      <c r="H94" s="103">
        <v>0.60416666666666663</v>
      </c>
      <c r="I94" s="102">
        <v>0.79166666666666663</v>
      </c>
      <c r="J94" s="99" t="s">
        <v>255</v>
      </c>
      <c r="K94" s="167">
        <f t="shared" si="1"/>
        <v>0.875</v>
      </c>
      <c r="L94" s="102">
        <v>0.97916666666666663</v>
      </c>
      <c r="M94" s="99" t="s">
        <v>242</v>
      </c>
    </row>
    <row r="95" spans="1:13">
      <c r="A95" s="108" t="s">
        <v>378</v>
      </c>
      <c r="B95" s="109" t="s">
        <v>60</v>
      </c>
      <c r="C95" s="110">
        <v>46353</v>
      </c>
      <c r="D95" s="109" t="s">
        <v>257</v>
      </c>
      <c r="E95" s="111">
        <v>1</v>
      </c>
      <c r="F95" s="111" t="s">
        <v>239</v>
      </c>
      <c r="G95" s="111" t="s">
        <v>354</v>
      </c>
      <c r="H95" s="112">
        <v>0.47916666666666669</v>
      </c>
      <c r="I95" s="113">
        <v>0.66666666666666663</v>
      </c>
      <c r="J95" s="111" t="s">
        <v>291</v>
      </c>
      <c r="K95" s="167">
        <f t="shared" si="1"/>
        <v>0.75</v>
      </c>
      <c r="L95" s="113">
        <v>0.85416666666666663</v>
      </c>
      <c r="M95" s="111" t="s">
        <v>242</v>
      </c>
    </row>
    <row r="96" spans="1:13">
      <c r="A96" s="114" t="s">
        <v>379</v>
      </c>
      <c r="B96" s="115" t="s">
        <v>60</v>
      </c>
      <c r="C96" s="116">
        <v>46353</v>
      </c>
      <c r="D96" s="115" t="s">
        <v>257</v>
      </c>
      <c r="E96" s="117">
        <v>2</v>
      </c>
      <c r="F96" s="117" t="s">
        <v>244</v>
      </c>
      <c r="G96" s="117" t="s">
        <v>356</v>
      </c>
      <c r="H96" s="118">
        <v>0.5625</v>
      </c>
      <c r="I96" s="119">
        <v>0.75</v>
      </c>
      <c r="J96" s="117" t="s">
        <v>246</v>
      </c>
      <c r="K96" s="167">
        <f t="shared" si="1"/>
        <v>0.83333333333333337</v>
      </c>
      <c r="L96" s="119">
        <v>0.9375</v>
      </c>
      <c r="M96" s="117" t="s">
        <v>242</v>
      </c>
    </row>
    <row r="97" spans="1:13">
      <c r="A97" s="120" t="s">
        <v>380</v>
      </c>
      <c r="B97" s="121" t="s">
        <v>60</v>
      </c>
      <c r="C97" s="122">
        <v>46353</v>
      </c>
      <c r="D97" s="121" t="s">
        <v>257</v>
      </c>
      <c r="E97" s="123">
        <v>3</v>
      </c>
      <c r="F97" s="123" t="s">
        <v>248</v>
      </c>
      <c r="G97" s="123" t="s">
        <v>358</v>
      </c>
      <c r="H97" s="124">
        <v>0.60416666666666663</v>
      </c>
      <c r="I97" s="125">
        <v>0.79166666666666663</v>
      </c>
      <c r="J97" s="123" t="s">
        <v>255</v>
      </c>
      <c r="K97" s="167">
        <f t="shared" si="1"/>
        <v>0.875</v>
      </c>
      <c r="L97" s="125">
        <v>0.97916666666666663</v>
      </c>
      <c r="M97" s="123" t="s">
        <v>242</v>
      </c>
    </row>
    <row r="98" spans="1:13">
      <c r="A98" s="108" t="s">
        <v>381</v>
      </c>
      <c r="B98" s="109" t="s">
        <v>70</v>
      </c>
      <c r="C98" s="110">
        <v>46347</v>
      </c>
      <c r="D98" s="109" t="s">
        <v>238</v>
      </c>
      <c r="E98" s="111">
        <v>1</v>
      </c>
      <c r="F98" s="111" t="s">
        <v>239</v>
      </c>
      <c r="G98" s="111" t="s">
        <v>382</v>
      </c>
      <c r="H98" s="112">
        <v>0.5</v>
      </c>
      <c r="I98" s="113">
        <v>0.6875</v>
      </c>
      <c r="J98" s="111" t="s">
        <v>272</v>
      </c>
      <c r="K98" s="167">
        <f t="shared" si="1"/>
        <v>0.77083333333333337</v>
      </c>
      <c r="L98" s="113">
        <v>0.875</v>
      </c>
      <c r="M98" s="111" t="s">
        <v>242</v>
      </c>
    </row>
    <row r="99" spans="1:13">
      <c r="A99" s="114" t="s">
        <v>383</v>
      </c>
      <c r="B99" s="115" t="s">
        <v>70</v>
      </c>
      <c r="C99" s="116">
        <v>46347</v>
      </c>
      <c r="D99" s="115" t="s">
        <v>238</v>
      </c>
      <c r="E99" s="117">
        <v>2</v>
      </c>
      <c r="F99" s="117" t="s">
        <v>244</v>
      </c>
      <c r="G99" s="117" t="s">
        <v>384</v>
      </c>
      <c r="H99" s="118">
        <v>0.5625</v>
      </c>
      <c r="I99" s="119">
        <v>0.75</v>
      </c>
      <c r="J99" s="117" t="s">
        <v>241</v>
      </c>
      <c r="K99" s="167">
        <f t="shared" si="1"/>
        <v>0.83333333333333337</v>
      </c>
      <c r="L99" s="119">
        <v>0.9375</v>
      </c>
      <c r="M99" s="117" t="s">
        <v>242</v>
      </c>
    </row>
    <row r="100" spans="1:13">
      <c r="A100" s="120" t="s">
        <v>385</v>
      </c>
      <c r="B100" s="121" t="s">
        <v>70</v>
      </c>
      <c r="C100" s="122">
        <v>46347</v>
      </c>
      <c r="D100" s="121" t="s">
        <v>238</v>
      </c>
      <c r="E100" s="123">
        <v>3</v>
      </c>
      <c r="F100" s="123" t="s">
        <v>248</v>
      </c>
      <c r="G100" s="123" t="s">
        <v>386</v>
      </c>
      <c r="H100" s="124">
        <v>0.58333333333333337</v>
      </c>
      <c r="I100" s="125">
        <v>0.77083333333333337</v>
      </c>
      <c r="J100" s="123" t="s">
        <v>261</v>
      </c>
      <c r="K100" s="167">
        <f t="shared" si="1"/>
        <v>0.85416666666666674</v>
      </c>
      <c r="L100" s="125">
        <v>0.95833333333333337</v>
      </c>
      <c r="M100" s="123" t="s">
        <v>242</v>
      </c>
    </row>
    <row r="101" spans="1:13">
      <c r="A101" s="108" t="s">
        <v>387</v>
      </c>
      <c r="B101" s="109" t="s">
        <v>70</v>
      </c>
      <c r="C101" s="110">
        <v>46350</v>
      </c>
      <c r="D101" s="109" t="s">
        <v>238</v>
      </c>
      <c r="E101" s="111">
        <v>1</v>
      </c>
      <c r="F101" s="111" t="s">
        <v>239</v>
      </c>
      <c r="G101" s="111" t="s">
        <v>382</v>
      </c>
      <c r="H101" s="112">
        <v>0.5</v>
      </c>
      <c r="I101" s="113">
        <v>0.6875</v>
      </c>
      <c r="J101" s="111" t="s">
        <v>272</v>
      </c>
      <c r="K101" s="167">
        <f t="shared" si="1"/>
        <v>0.77083333333333337</v>
      </c>
      <c r="L101" s="113">
        <v>0.875</v>
      </c>
      <c r="M101" s="111" t="s">
        <v>242</v>
      </c>
    </row>
    <row r="102" spans="1:13">
      <c r="A102" s="114" t="s">
        <v>388</v>
      </c>
      <c r="B102" s="115" t="s">
        <v>70</v>
      </c>
      <c r="C102" s="116">
        <v>46350</v>
      </c>
      <c r="D102" s="115" t="s">
        <v>238</v>
      </c>
      <c r="E102" s="117">
        <v>2</v>
      </c>
      <c r="F102" s="117" t="s">
        <v>244</v>
      </c>
      <c r="G102" s="117" t="s">
        <v>384</v>
      </c>
      <c r="H102" s="118">
        <v>0.5625</v>
      </c>
      <c r="I102" s="119">
        <v>0.75</v>
      </c>
      <c r="J102" s="117" t="s">
        <v>250</v>
      </c>
      <c r="K102" s="167">
        <f t="shared" si="1"/>
        <v>0.83333333333333337</v>
      </c>
      <c r="L102" s="119">
        <v>0.9375</v>
      </c>
      <c r="M102" s="117" t="s">
        <v>242</v>
      </c>
    </row>
    <row r="103" spans="1:13">
      <c r="A103" s="120" t="s">
        <v>389</v>
      </c>
      <c r="B103" s="121" t="s">
        <v>70</v>
      </c>
      <c r="C103" s="122">
        <v>46350</v>
      </c>
      <c r="D103" s="121" t="s">
        <v>238</v>
      </c>
      <c r="E103" s="123">
        <v>3</v>
      </c>
      <c r="F103" s="123" t="s">
        <v>248</v>
      </c>
      <c r="G103" s="123" t="s">
        <v>386</v>
      </c>
      <c r="H103" s="124">
        <v>0.58333333333333337</v>
      </c>
      <c r="I103" s="125">
        <v>0.77083333333333337</v>
      </c>
      <c r="J103" s="123" t="s">
        <v>255</v>
      </c>
      <c r="K103" s="167">
        <f t="shared" si="1"/>
        <v>0.85416666666666674</v>
      </c>
      <c r="L103" s="125">
        <v>0.95833333333333337</v>
      </c>
      <c r="M103" s="123" t="s">
        <v>242</v>
      </c>
    </row>
    <row r="104" spans="1:13">
      <c r="A104" s="108" t="s">
        <v>390</v>
      </c>
      <c r="B104" s="109" t="s">
        <v>70</v>
      </c>
      <c r="C104" s="110">
        <v>46353</v>
      </c>
      <c r="D104" s="109" t="s">
        <v>257</v>
      </c>
      <c r="E104" s="111">
        <v>1</v>
      </c>
      <c r="F104" s="111" t="s">
        <v>239</v>
      </c>
      <c r="G104" s="111" t="s">
        <v>384</v>
      </c>
      <c r="H104" s="112">
        <v>0.52083333333333337</v>
      </c>
      <c r="I104" s="113">
        <v>0.70833333333333337</v>
      </c>
      <c r="J104" s="111" t="s">
        <v>241</v>
      </c>
      <c r="K104" s="167">
        <f t="shared" si="1"/>
        <v>0.79166666666666674</v>
      </c>
      <c r="L104" s="113">
        <v>0.89583333333333337</v>
      </c>
      <c r="M104" s="111" t="s">
        <v>242</v>
      </c>
    </row>
    <row r="105" spans="1:13">
      <c r="A105" s="114" t="s">
        <v>391</v>
      </c>
      <c r="B105" s="115" t="s">
        <v>70</v>
      </c>
      <c r="C105" s="116">
        <v>46353</v>
      </c>
      <c r="D105" s="115" t="s">
        <v>257</v>
      </c>
      <c r="E105" s="117">
        <v>2</v>
      </c>
      <c r="F105" s="117" t="s">
        <v>244</v>
      </c>
      <c r="G105" s="117" t="s">
        <v>382</v>
      </c>
      <c r="H105" s="118">
        <v>0.5625</v>
      </c>
      <c r="I105" s="119">
        <v>0.75</v>
      </c>
      <c r="J105" s="117" t="s">
        <v>250</v>
      </c>
      <c r="K105" s="167">
        <f t="shared" si="1"/>
        <v>0.83333333333333337</v>
      </c>
      <c r="L105" s="119">
        <v>0.9375</v>
      </c>
      <c r="M105" s="117" t="s">
        <v>242</v>
      </c>
    </row>
    <row r="106" spans="1:13">
      <c r="A106" s="120" t="s">
        <v>392</v>
      </c>
      <c r="B106" s="121" t="s">
        <v>70</v>
      </c>
      <c r="C106" s="122">
        <v>46353</v>
      </c>
      <c r="D106" s="121" t="s">
        <v>257</v>
      </c>
      <c r="E106" s="123">
        <v>3</v>
      </c>
      <c r="F106" s="123" t="s">
        <v>248</v>
      </c>
      <c r="G106" s="123" t="s">
        <v>386</v>
      </c>
      <c r="H106" s="124">
        <v>0.60416666666666663</v>
      </c>
      <c r="I106" s="125">
        <v>0.79166666666666663</v>
      </c>
      <c r="J106" s="123" t="s">
        <v>255</v>
      </c>
      <c r="K106" s="167">
        <f t="shared" si="1"/>
        <v>0.875</v>
      </c>
      <c r="L106" s="125">
        <v>0.97916666666666663</v>
      </c>
      <c r="M106" s="123" t="s">
        <v>242</v>
      </c>
    </row>
    <row r="107" spans="1:13">
      <c r="A107" s="108" t="s">
        <v>393</v>
      </c>
      <c r="B107" s="109" t="s">
        <v>74</v>
      </c>
      <c r="C107" s="110">
        <v>46345</v>
      </c>
      <c r="D107" s="109" t="s">
        <v>238</v>
      </c>
      <c r="E107" s="109">
        <v>1</v>
      </c>
      <c r="F107" s="111" t="s">
        <v>239</v>
      </c>
      <c r="G107" s="111" t="s">
        <v>394</v>
      </c>
      <c r="H107" s="112">
        <v>0.5</v>
      </c>
      <c r="I107" s="112">
        <v>0.6875</v>
      </c>
      <c r="J107" s="111" t="s">
        <v>241</v>
      </c>
      <c r="K107" s="167">
        <f t="shared" si="1"/>
        <v>0.77083333333333337</v>
      </c>
      <c r="L107" s="113">
        <v>0.875</v>
      </c>
      <c r="M107" s="109" t="s">
        <v>242</v>
      </c>
    </row>
    <row r="108" spans="1:13">
      <c r="A108" s="114" t="s">
        <v>395</v>
      </c>
      <c r="B108" s="115" t="s">
        <v>74</v>
      </c>
      <c r="C108" s="116">
        <v>46345</v>
      </c>
      <c r="D108" s="115" t="s">
        <v>238</v>
      </c>
      <c r="E108" s="115">
        <v>2</v>
      </c>
      <c r="F108" s="117" t="s">
        <v>244</v>
      </c>
      <c r="G108" s="117" t="s">
        <v>396</v>
      </c>
      <c r="H108" s="118">
        <v>0.52083333333333337</v>
      </c>
      <c r="I108" s="118">
        <v>0.70833333333333337</v>
      </c>
      <c r="J108" s="117" t="s">
        <v>272</v>
      </c>
      <c r="K108" s="167">
        <f t="shared" si="1"/>
        <v>0.79166666666666674</v>
      </c>
      <c r="L108" s="118">
        <v>0.89583333333333337</v>
      </c>
      <c r="M108" s="115" t="s">
        <v>242</v>
      </c>
    </row>
    <row r="109" spans="1:13">
      <c r="A109" s="120" t="s">
        <v>397</v>
      </c>
      <c r="B109" s="121" t="s">
        <v>74</v>
      </c>
      <c r="C109" s="122">
        <v>46345</v>
      </c>
      <c r="D109" s="121" t="s">
        <v>238</v>
      </c>
      <c r="E109" s="121">
        <v>3</v>
      </c>
      <c r="F109" s="123" t="s">
        <v>248</v>
      </c>
      <c r="G109" s="123" t="s">
        <v>398</v>
      </c>
      <c r="H109" s="124">
        <v>0.60416666666666663</v>
      </c>
      <c r="I109" s="124">
        <v>0.79166666666666663</v>
      </c>
      <c r="J109" s="123" t="s">
        <v>261</v>
      </c>
      <c r="K109" s="167">
        <f t="shared" si="1"/>
        <v>0.875</v>
      </c>
      <c r="L109" s="125">
        <v>0.97916666666666663</v>
      </c>
      <c r="M109" s="121" t="s">
        <v>242</v>
      </c>
    </row>
    <row r="110" spans="1:13">
      <c r="A110" s="107" t="s">
        <v>399</v>
      </c>
      <c r="B110" s="101" t="s">
        <v>74</v>
      </c>
      <c r="C110" s="104">
        <v>46345</v>
      </c>
      <c r="D110" s="101" t="s">
        <v>238</v>
      </c>
      <c r="E110" s="101">
        <v>4</v>
      </c>
      <c r="F110" s="99" t="s">
        <v>342</v>
      </c>
      <c r="G110" s="99" t="s">
        <v>400</v>
      </c>
      <c r="H110" s="103">
        <v>0.60416666666666663</v>
      </c>
      <c r="I110" s="103">
        <v>0.79166666666666663</v>
      </c>
      <c r="J110" s="99" t="s">
        <v>255</v>
      </c>
      <c r="K110" s="167">
        <f t="shared" si="1"/>
        <v>0.875</v>
      </c>
      <c r="L110" s="102">
        <v>0.97916666666666663</v>
      </c>
      <c r="M110" s="101" t="s">
        <v>242</v>
      </c>
    </row>
    <row r="111" spans="1:13">
      <c r="A111" s="108" t="s">
        <v>401</v>
      </c>
      <c r="B111" s="109" t="s">
        <v>74</v>
      </c>
      <c r="C111" s="110">
        <v>46346</v>
      </c>
      <c r="D111" s="109" t="s">
        <v>238</v>
      </c>
      <c r="E111" s="111">
        <v>1</v>
      </c>
      <c r="F111" s="111" t="s">
        <v>239</v>
      </c>
      <c r="G111" s="111" t="s">
        <v>402</v>
      </c>
      <c r="H111" s="112">
        <v>0.47916666666666669</v>
      </c>
      <c r="I111" s="113">
        <v>0.66666666666666663</v>
      </c>
      <c r="J111" s="111" t="s">
        <v>250</v>
      </c>
      <c r="K111" s="167">
        <f t="shared" si="1"/>
        <v>0.75</v>
      </c>
      <c r="L111" s="113">
        <v>0.85416666666666663</v>
      </c>
      <c r="M111" s="111" t="s">
        <v>242</v>
      </c>
    </row>
    <row r="112" spans="1:13">
      <c r="A112" s="114" t="s">
        <v>403</v>
      </c>
      <c r="B112" s="115" t="s">
        <v>74</v>
      </c>
      <c r="C112" s="116">
        <v>46346</v>
      </c>
      <c r="D112" s="115" t="s">
        <v>238</v>
      </c>
      <c r="E112" s="117">
        <v>2</v>
      </c>
      <c r="F112" s="117" t="s">
        <v>244</v>
      </c>
      <c r="G112" s="117" t="s">
        <v>404</v>
      </c>
      <c r="H112" s="118">
        <v>0.5</v>
      </c>
      <c r="I112" s="119">
        <v>0.6875</v>
      </c>
      <c r="J112" s="117" t="s">
        <v>241</v>
      </c>
      <c r="K112" s="167">
        <f t="shared" si="1"/>
        <v>0.77083333333333337</v>
      </c>
      <c r="L112" s="119">
        <v>0.875</v>
      </c>
      <c r="M112" s="117" t="s">
        <v>242</v>
      </c>
    </row>
    <row r="113" spans="1:13">
      <c r="A113" s="120" t="s">
        <v>405</v>
      </c>
      <c r="B113" s="121" t="s">
        <v>74</v>
      </c>
      <c r="C113" s="122">
        <v>46346</v>
      </c>
      <c r="D113" s="121" t="s">
        <v>238</v>
      </c>
      <c r="E113" s="123">
        <v>3</v>
      </c>
      <c r="F113" s="123" t="s">
        <v>248</v>
      </c>
      <c r="G113" s="123" t="s">
        <v>406</v>
      </c>
      <c r="H113" s="124">
        <v>0.52083333333333337</v>
      </c>
      <c r="I113" s="125">
        <v>0.70833333333333337</v>
      </c>
      <c r="J113" s="123" t="s">
        <v>272</v>
      </c>
      <c r="K113" s="167">
        <f t="shared" si="1"/>
        <v>0.79166666666666674</v>
      </c>
      <c r="L113" s="125">
        <v>0.89583333333333337</v>
      </c>
      <c r="M113" s="123" t="s">
        <v>242</v>
      </c>
    </row>
    <row r="114" spans="1:13">
      <c r="A114" s="107" t="s">
        <v>407</v>
      </c>
      <c r="B114" s="101" t="s">
        <v>74</v>
      </c>
      <c r="C114" s="104">
        <v>46346</v>
      </c>
      <c r="D114" s="101" t="s">
        <v>238</v>
      </c>
      <c r="E114" s="99">
        <v>4</v>
      </c>
      <c r="F114" s="99" t="s">
        <v>342</v>
      </c>
      <c r="G114" s="99" t="s">
        <v>408</v>
      </c>
      <c r="H114" s="103">
        <v>0.58333333333333337</v>
      </c>
      <c r="I114" s="102">
        <v>0.77083333333333337</v>
      </c>
      <c r="J114" s="99" t="s">
        <v>250</v>
      </c>
      <c r="K114" s="167">
        <f t="shared" si="1"/>
        <v>0.85416666666666674</v>
      </c>
      <c r="L114" s="102">
        <v>0.95833333333333337</v>
      </c>
      <c r="M114" s="99" t="s">
        <v>242</v>
      </c>
    </row>
    <row r="115" spans="1:13">
      <c r="A115" s="108" t="s">
        <v>409</v>
      </c>
      <c r="B115" s="109" t="s">
        <v>74</v>
      </c>
      <c r="C115" s="110">
        <v>46347</v>
      </c>
      <c r="D115" s="109" t="s">
        <v>238</v>
      </c>
      <c r="E115" s="111">
        <v>1</v>
      </c>
      <c r="F115" s="111" t="s">
        <v>239</v>
      </c>
      <c r="G115" s="111" t="s">
        <v>410</v>
      </c>
      <c r="H115" s="112">
        <v>0.45833333333333331</v>
      </c>
      <c r="I115" s="113">
        <v>0.64583333333333337</v>
      </c>
      <c r="J115" s="111" t="s">
        <v>258</v>
      </c>
      <c r="K115" s="167">
        <f t="shared" si="1"/>
        <v>0.72916666666666674</v>
      </c>
      <c r="L115" s="113">
        <v>0.83333333333333337</v>
      </c>
      <c r="M115" s="111" t="s">
        <v>242</v>
      </c>
    </row>
    <row r="116" spans="1:13">
      <c r="A116" s="114" t="s">
        <v>411</v>
      </c>
      <c r="B116" s="115" t="s">
        <v>74</v>
      </c>
      <c r="C116" s="116">
        <v>46347</v>
      </c>
      <c r="D116" s="115" t="s">
        <v>238</v>
      </c>
      <c r="E116" s="117">
        <v>2</v>
      </c>
      <c r="F116" s="117" t="s">
        <v>244</v>
      </c>
      <c r="G116" s="117" t="s">
        <v>412</v>
      </c>
      <c r="H116" s="118">
        <v>0.5625</v>
      </c>
      <c r="I116" s="119">
        <v>0.75</v>
      </c>
      <c r="J116" s="117" t="s">
        <v>241</v>
      </c>
      <c r="K116" s="167">
        <f t="shared" si="1"/>
        <v>0.83333333333333337</v>
      </c>
      <c r="L116" s="119">
        <v>0.9375</v>
      </c>
      <c r="M116" s="117" t="s">
        <v>242</v>
      </c>
    </row>
    <row r="117" spans="1:13">
      <c r="A117" s="108" t="s">
        <v>413</v>
      </c>
      <c r="B117" s="109" t="s">
        <v>74</v>
      </c>
      <c r="C117" s="110">
        <v>46348</v>
      </c>
      <c r="D117" s="109" t="s">
        <v>238</v>
      </c>
      <c r="E117" s="111">
        <v>1</v>
      </c>
      <c r="F117" s="111" t="s">
        <v>239</v>
      </c>
      <c r="G117" s="111" t="s">
        <v>396</v>
      </c>
      <c r="H117" s="112">
        <v>0.45833333333333331</v>
      </c>
      <c r="I117" s="113">
        <v>0.64583333333333337</v>
      </c>
      <c r="J117" s="111" t="s">
        <v>258</v>
      </c>
      <c r="K117" s="167">
        <f t="shared" si="1"/>
        <v>0.72916666666666674</v>
      </c>
      <c r="L117" s="113">
        <v>0.83333333333333337</v>
      </c>
      <c r="M117" s="111" t="s">
        <v>242</v>
      </c>
    </row>
    <row r="118" spans="1:13">
      <c r="A118" s="114" t="s">
        <v>414</v>
      </c>
      <c r="B118" s="115" t="s">
        <v>74</v>
      </c>
      <c r="C118" s="116">
        <v>46348</v>
      </c>
      <c r="D118" s="115" t="s">
        <v>238</v>
      </c>
      <c r="E118" s="117">
        <v>2</v>
      </c>
      <c r="F118" s="117" t="s">
        <v>244</v>
      </c>
      <c r="G118" s="117" t="s">
        <v>398</v>
      </c>
      <c r="H118" s="118">
        <v>0.45833333333333331</v>
      </c>
      <c r="I118" s="119">
        <v>0.64583333333333337</v>
      </c>
      <c r="J118" s="117" t="s">
        <v>291</v>
      </c>
      <c r="K118" s="167">
        <f t="shared" si="1"/>
        <v>0.72916666666666674</v>
      </c>
      <c r="L118" s="119">
        <v>0.83333333333333337</v>
      </c>
      <c r="M118" s="117" t="s">
        <v>242</v>
      </c>
    </row>
    <row r="119" spans="1:13">
      <c r="A119" s="120" t="s">
        <v>415</v>
      </c>
      <c r="B119" s="121" t="s">
        <v>74</v>
      </c>
      <c r="C119" s="122">
        <v>46348</v>
      </c>
      <c r="D119" s="121" t="s">
        <v>238</v>
      </c>
      <c r="E119" s="123">
        <v>3</v>
      </c>
      <c r="F119" s="123" t="s">
        <v>248</v>
      </c>
      <c r="G119" s="123" t="s">
        <v>400</v>
      </c>
      <c r="H119" s="124">
        <v>0.5</v>
      </c>
      <c r="I119" s="125">
        <v>0.6875</v>
      </c>
      <c r="J119" s="123" t="s">
        <v>272</v>
      </c>
      <c r="K119" s="167">
        <f t="shared" si="1"/>
        <v>0.77083333333333337</v>
      </c>
      <c r="L119" s="125">
        <v>0.875</v>
      </c>
      <c r="M119" s="123" t="s">
        <v>242</v>
      </c>
    </row>
    <row r="120" spans="1:13">
      <c r="A120" s="107" t="s">
        <v>416</v>
      </c>
      <c r="B120" s="101" t="s">
        <v>74</v>
      </c>
      <c r="C120" s="104">
        <v>46348</v>
      </c>
      <c r="D120" s="101" t="s">
        <v>238</v>
      </c>
      <c r="E120" s="99">
        <v>4</v>
      </c>
      <c r="F120" s="99" t="s">
        <v>342</v>
      </c>
      <c r="G120" s="99" t="s">
        <v>394</v>
      </c>
      <c r="H120" s="103">
        <v>0.54166666666666663</v>
      </c>
      <c r="I120" s="102">
        <v>0.72916666666666663</v>
      </c>
      <c r="J120" s="99" t="s">
        <v>246</v>
      </c>
      <c r="K120" s="167">
        <f t="shared" si="1"/>
        <v>0.8125</v>
      </c>
      <c r="L120" s="102">
        <v>0.91666666666666663</v>
      </c>
      <c r="M120" s="99" t="s">
        <v>242</v>
      </c>
    </row>
    <row r="121" spans="1:13">
      <c r="A121" s="107" t="s">
        <v>417</v>
      </c>
      <c r="B121" s="101" t="s">
        <v>74</v>
      </c>
      <c r="C121" s="104">
        <v>46348</v>
      </c>
      <c r="D121" s="101" t="s">
        <v>238</v>
      </c>
      <c r="E121" s="99">
        <v>5</v>
      </c>
      <c r="F121" s="99" t="s">
        <v>418</v>
      </c>
      <c r="G121" s="99" t="s">
        <v>404</v>
      </c>
      <c r="H121" s="103">
        <v>0.54166666666666663</v>
      </c>
      <c r="I121" s="102">
        <v>0.72916666666666663</v>
      </c>
      <c r="J121" s="99" t="s">
        <v>246</v>
      </c>
      <c r="K121" s="167">
        <f t="shared" si="1"/>
        <v>0.8125</v>
      </c>
      <c r="L121" s="102">
        <v>0.91666666666666663</v>
      </c>
      <c r="M121" s="99" t="s">
        <v>242</v>
      </c>
    </row>
    <row r="122" spans="1:13">
      <c r="A122" s="108" t="s">
        <v>419</v>
      </c>
      <c r="B122" s="109" t="s">
        <v>74</v>
      </c>
      <c r="C122" s="110">
        <v>46349</v>
      </c>
      <c r="D122" s="109" t="s">
        <v>238</v>
      </c>
      <c r="E122" s="111">
        <v>1</v>
      </c>
      <c r="F122" s="111" t="s">
        <v>239</v>
      </c>
      <c r="G122" s="111" t="s">
        <v>406</v>
      </c>
      <c r="H122" s="112">
        <v>0.45833333333333331</v>
      </c>
      <c r="I122" s="113">
        <v>0.64583333333333337</v>
      </c>
      <c r="J122" s="111" t="s">
        <v>291</v>
      </c>
      <c r="K122" s="167">
        <f t="shared" si="1"/>
        <v>0.72916666666666674</v>
      </c>
      <c r="L122" s="113">
        <v>0.83333333333333337</v>
      </c>
      <c r="M122" s="111" t="s">
        <v>242</v>
      </c>
    </row>
    <row r="123" spans="1:13">
      <c r="A123" s="114" t="s">
        <v>420</v>
      </c>
      <c r="B123" s="115" t="s">
        <v>74</v>
      </c>
      <c r="C123" s="116">
        <v>46349</v>
      </c>
      <c r="D123" s="115" t="s">
        <v>238</v>
      </c>
      <c r="E123" s="117">
        <v>2</v>
      </c>
      <c r="F123" s="117" t="s">
        <v>244</v>
      </c>
      <c r="G123" s="117" t="s">
        <v>402</v>
      </c>
      <c r="H123" s="118">
        <v>0.47916666666666669</v>
      </c>
      <c r="I123" s="119">
        <v>0.66666666666666663</v>
      </c>
      <c r="J123" s="117" t="s">
        <v>241</v>
      </c>
      <c r="K123" s="167">
        <f t="shared" si="1"/>
        <v>0.75</v>
      </c>
      <c r="L123" s="118">
        <v>0.85416666666666663</v>
      </c>
      <c r="M123" s="117" t="s">
        <v>242</v>
      </c>
    </row>
    <row r="124" spans="1:13">
      <c r="A124" s="120" t="s">
        <v>421</v>
      </c>
      <c r="B124" s="121" t="s">
        <v>74</v>
      </c>
      <c r="C124" s="122">
        <v>46349</v>
      </c>
      <c r="D124" s="121" t="s">
        <v>238</v>
      </c>
      <c r="E124" s="123">
        <v>3</v>
      </c>
      <c r="F124" s="123" t="s">
        <v>248</v>
      </c>
      <c r="G124" s="123" t="s">
        <v>408</v>
      </c>
      <c r="H124" s="124">
        <v>0.5</v>
      </c>
      <c r="I124" s="125">
        <v>0.6875</v>
      </c>
      <c r="J124" s="123" t="s">
        <v>272</v>
      </c>
      <c r="K124" s="167">
        <f t="shared" si="1"/>
        <v>0.77083333333333337</v>
      </c>
      <c r="L124" s="125">
        <v>0.875</v>
      </c>
      <c r="M124" s="123" t="s">
        <v>242</v>
      </c>
    </row>
    <row r="125" spans="1:13">
      <c r="A125" s="107" t="s">
        <v>422</v>
      </c>
      <c r="B125" s="101" t="s">
        <v>74</v>
      </c>
      <c r="C125" s="104">
        <v>46349</v>
      </c>
      <c r="D125" s="101" t="s">
        <v>238</v>
      </c>
      <c r="E125" s="99">
        <v>4</v>
      </c>
      <c r="F125" s="99" t="s">
        <v>342</v>
      </c>
      <c r="G125" s="99" t="s">
        <v>404</v>
      </c>
      <c r="H125" s="103">
        <v>0.58333333333333337</v>
      </c>
      <c r="I125" s="102">
        <v>0.77083333333333337</v>
      </c>
      <c r="J125" s="99" t="s">
        <v>261</v>
      </c>
      <c r="K125" s="167">
        <f t="shared" si="1"/>
        <v>0.85416666666666674</v>
      </c>
      <c r="L125" s="102">
        <v>0.95833333333333337</v>
      </c>
      <c r="M125" s="99" t="s">
        <v>242</v>
      </c>
    </row>
    <row r="126" spans="1:13">
      <c r="A126" s="108" t="s">
        <v>423</v>
      </c>
      <c r="B126" s="109" t="s">
        <v>74</v>
      </c>
      <c r="C126" s="110">
        <v>46350</v>
      </c>
      <c r="D126" s="109" t="s">
        <v>238</v>
      </c>
      <c r="E126" s="111">
        <v>1</v>
      </c>
      <c r="F126" s="111" t="s">
        <v>239</v>
      </c>
      <c r="G126" s="111" t="s">
        <v>412</v>
      </c>
      <c r="H126" s="112">
        <v>0.45833333333333331</v>
      </c>
      <c r="I126" s="113">
        <v>0.64583333333333337</v>
      </c>
      <c r="J126" s="111" t="s">
        <v>291</v>
      </c>
      <c r="K126" s="167">
        <f t="shared" si="1"/>
        <v>0.72916666666666674</v>
      </c>
      <c r="L126" s="113">
        <v>0.83333333333333337</v>
      </c>
      <c r="M126" s="111" t="s">
        <v>242</v>
      </c>
    </row>
    <row r="127" spans="1:13">
      <c r="A127" s="114" t="s">
        <v>424</v>
      </c>
      <c r="B127" s="115" t="s">
        <v>74</v>
      </c>
      <c r="C127" s="116">
        <v>46350</v>
      </c>
      <c r="D127" s="115" t="s">
        <v>238</v>
      </c>
      <c r="E127" s="117">
        <v>2</v>
      </c>
      <c r="F127" s="117" t="s">
        <v>244</v>
      </c>
      <c r="G127" s="117" t="s">
        <v>410</v>
      </c>
      <c r="H127" s="118">
        <v>0.58333333333333337</v>
      </c>
      <c r="I127" s="119">
        <v>0.77083333333333337</v>
      </c>
      <c r="J127" s="117" t="s">
        <v>261</v>
      </c>
      <c r="K127" s="167">
        <f t="shared" si="1"/>
        <v>0.85416666666666674</v>
      </c>
      <c r="L127" s="119">
        <v>0.95833333333333337</v>
      </c>
      <c r="M127" s="117" t="s">
        <v>242</v>
      </c>
    </row>
    <row r="128" spans="1:13">
      <c r="A128" s="108" t="s">
        <v>425</v>
      </c>
      <c r="B128" s="109" t="s">
        <v>74</v>
      </c>
      <c r="C128" s="110">
        <v>46351</v>
      </c>
      <c r="D128" s="109" t="s">
        <v>257</v>
      </c>
      <c r="E128" s="111">
        <v>1</v>
      </c>
      <c r="F128" s="111" t="s">
        <v>239</v>
      </c>
      <c r="G128" s="111" t="s">
        <v>394</v>
      </c>
      <c r="H128" s="112">
        <v>0.45833333333333331</v>
      </c>
      <c r="I128" s="113">
        <v>0.64583333333333337</v>
      </c>
      <c r="J128" s="111" t="s">
        <v>291</v>
      </c>
      <c r="K128" s="167">
        <f t="shared" si="1"/>
        <v>0.72916666666666674</v>
      </c>
      <c r="L128" s="113">
        <v>0.83333333333333337</v>
      </c>
      <c r="M128" s="111" t="s">
        <v>242</v>
      </c>
    </row>
    <row r="129" spans="1:13">
      <c r="A129" s="114" t="s">
        <v>426</v>
      </c>
      <c r="B129" s="115" t="s">
        <v>74</v>
      </c>
      <c r="C129" s="116">
        <v>46351</v>
      </c>
      <c r="D129" s="115" t="s">
        <v>257</v>
      </c>
      <c r="E129" s="117">
        <v>2</v>
      </c>
      <c r="F129" s="117" t="s">
        <v>244</v>
      </c>
      <c r="G129" s="117" t="s">
        <v>400</v>
      </c>
      <c r="H129" s="118">
        <v>0.5</v>
      </c>
      <c r="I129" s="119">
        <v>0.6875</v>
      </c>
      <c r="J129" s="117" t="s">
        <v>241</v>
      </c>
      <c r="K129" s="167">
        <f t="shared" si="1"/>
        <v>0.77083333333333337</v>
      </c>
      <c r="L129" s="119">
        <v>0.875</v>
      </c>
      <c r="M129" s="117" t="s">
        <v>242</v>
      </c>
    </row>
    <row r="130" spans="1:13">
      <c r="A130" s="120" t="s">
        <v>427</v>
      </c>
      <c r="B130" s="121" t="s">
        <v>74</v>
      </c>
      <c r="C130" s="122">
        <v>46351</v>
      </c>
      <c r="D130" s="121" t="s">
        <v>257</v>
      </c>
      <c r="E130" s="123">
        <v>3</v>
      </c>
      <c r="F130" s="123" t="s">
        <v>248</v>
      </c>
      <c r="G130" s="123" t="s">
        <v>396</v>
      </c>
      <c r="H130" s="124">
        <v>0.54166666666666663</v>
      </c>
      <c r="I130" s="125">
        <v>0.72916666666666663</v>
      </c>
      <c r="J130" s="123" t="s">
        <v>250</v>
      </c>
      <c r="K130" s="167">
        <f t="shared" si="1"/>
        <v>0.8125</v>
      </c>
      <c r="L130" s="125">
        <v>0.91666666666666663</v>
      </c>
      <c r="M130" s="123" t="s">
        <v>242</v>
      </c>
    </row>
    <row r="131" spans="1:13">
      <c r="A131" s="107" t="s">
        <v>428</v>
      </c>
      <c r="B131" s="101" t="s">
        <v>74</v>
      </c>
      <c r="C131" s="104">
        <v>46351</v>
      </c>
      <c r="D131" s="101" t="s">
        <v>257</v>
      </c>
      <c r="E131" s="99">
        <v>4</v>
      </c>
      <c r="F131" s="99" t="s">
        <v>342</v>
      </c>
      <c r="G131" s="99" t="s">
        <v>398</v>
      </c>
      <c r="H131" s="103">
        <v>0.58333333333333337</v>
      </c>
      <c r="I131" s="102">
        <v>0.77083333333333337</v>
      </c>
      <c r="J131" s="99" t="s">
        <v>261</v>
      </c>
      <c r="K131" s="167">
        <f t="shared" si="1"/>
        <v>0.85416666666666674</v>
      </c>
      <c r="L131" s="102">
        <v>0.95833333333333337</v>
      </c>
      <c r="M131" s="99" t="s">
        <v>242</v>
      </c>
    </row>
    <row r="132" spans="1:13">
      <c r="A132" s="108" t="s">
        <v>429</v>
      </c>
      <c r="B132" s="109" t="s">
        <v>74</v>
      </c>
      <c r="C132" s="110">
        <v>46352</v>
      </c>
      <c r="D132" s="109" t="s">
        <v>257</v>
      </c>
      <c r="E132" s="111">
        <v>1</v>
      </c>
      <c r="F132" s="111" t="s">
        <v>239</v>
      </c>
      <c r="G132" s="111" t="s">
        <v>404</v>
      </c>
      <c r="H132" s="112">
        <v>0.47916666666666669</v>
      </c>
      <c r="I132" s="113">
        <v>0.66666666666666663</v>
      </c>
      <c r="J132" s="111" t="s">
        <v>291</v>
      </c>
      <c r="K132" s="167">
        <f t="shared" si="1"/>
        <v>0.75</v>
      </c>
      <c r="L132" s="113">
        <v>0.85416666666666663</v>
      </c>
      <c r="M132" s="111" t="s">
        <v>242</v>
      </c>
    </row>
    <row r="133" spans="1:13">
      <c r="A133" s="114" t="s">
        <v>430</v>
      </c>
      <c r="B133" s="115" t="s">
        <v>74</v>
      </c>
      <c r="C133" s="116">
        <v>46352</v>
      </c>
      <c r="D133" s="115" t="s">
        <v>257</v>
      </c>
      <c r="E133" s="117">
        <v>2</v>
      </c>
      <c r="F133" s="117" t="s">
        <v>244</v>
      </c>
      <c r="G133" s="117" t="s">
        <v>402</v>
      </c>
      <c r="H133" s="118">
        <v>0.52083333333333337</v>
      </c>
      <c r="I133" s="119">
        <v>0.70833333333333337</v>
      </c>
      <c r="J133" s="117" t="s">
        <v>272</v>
      </c>
      <c r="K133" s="167">
        <f t="shared" ref="K133:K146" si="2">I133+TIME(2,0,0)</f>
        <v>0.79166666666666674</v>
      </c>
      <c r="L133" s="118">
        <v>0.89583333333333337</v>
      </c>
      <c r="M133" s="117" t="s">
        <v>242</v>
      </c>
    </row>
    <row r="134" spans="1:13">
      <c r="A134" s="120" t="s">
        <v>431</v>
      </c>
      <c r="B134" s="121" t="s">
        <v>74</v>
      </c>
      <c r="C134" s="122">
        <v>46352</v>
      </c>
      <c r="D134" s="121" t="s">
        <v>257</v>
      </c>
      <c r="E134" s="123">
        <v>3</v>
      </c>
      <c r="F134" s="123" t="s">
        <v>248</v>
      </c>
      <c r="G134" s="123" t="s">
        <v>406</v>
      </c>
      <c r="H134" s="124">
        <v>0.5625</v>
      </c>
      <c r="I134" s="125">
        <v>0.75</v>
      </c>
      <c r="J134" s="123" t="s">
        <v>246</v>
      </c>
      <c r="K134" s="167">
        <f t="shared" si="2"/>
        <v>0.83333333333333337</v>
      </c>
      <c r="L134" s="125">
        <v>0.9375</v>
      </c>
      <c r="M134" s="123" t="s">
        <v>242</v>
      </c>
    </row>
    <row r="135" spans="1:13">
      <c r="A135" s="107" t="s">
        <v>432</v>
      </c>
      <c r="B135" s="101" t="s">
        <v>74</v>
      </c>
      <c r="C135" s="104">
        <v>46352</v>
      </c>
      <c r="D135" s="101" t="s">
        <v>257</v>
      </c>
      <c r="E135" s="99">
        <v>4</v>
      </c>
      <c r="F135" s="99" t="s">
        <v>342</v>
      </c>
      <c r="G135" s="99" t="s">
        <v>408</v>
      </c>
      <c r="H135" s="103">
        <v>0.60416666666666663</v>
      </c>
      <c r="I135" s="102">
        <v>0.79166666666666663</v>
      </c>
      <c r="J135" s="99" t="s">
        <v>255</v>
      </c>
      <c r="K135" s="167">
        <f t="shared" si="2"/>
        <v>0.875</v>
      </c>
      <c r="L135" s="102">
        <v>0.97916666666666663</v>
      </c>
      <c r="M135" s="99" t="s">
        <v>242</v>
      </c>
    </row>
    <row r="136" spans="1:13">
      <c r="A136" s="108" t="s">
        <v>433</v>
      </c>
      <c r="B136" s="109" t="s">
        <v>74</v>
      </c>
      <c r="C136" s="110">
        <v>46353</v>
      </c>
      <c r="D136" s="109" t="s">
        <v>257</v>
      </c>
      <c r="E136" s="111">
        <v>1</v>
      </c>
      <c r="F136" s="111" t="s">
        <v>239</v>
      </c>
      <c r="G136" s="111" t="s">
        <v>410</v>
      </c>
      <c r="H136" s="112">
        <v>0.47916666666666669</v>
      </c>
      <c r="I136" s="113">
        <v>0.66666666666666663</v>
      </c>
      <c r="J136" s="111" t="s">
        <v>258</v>
      </c>
      <c r="K136" s="167">
        <f t="shared" si="2"/>
        <v>0.75</v>
      </c>
      <c r="L136" s="113">
        <v>0.85416666666666663</v>
      </c>
      <c r="M136" s="111" t="s">
        <v>242</v>
      </c>
    </row>
    <row r="137" spans="1:13">
      <c r="A137" s="114" t="s">
        <v>434</v>
      </c>
      <c r="B137" s="115" t="s">
        <v>74</v>
      </c>
      <c r="C137" s="116">
        <v>46353</v>
      </c>
      <c r="D137" s="115" t="s">
        <v>257</v>
      </c>
      <c r="E137" s="117">
        <v>2</v>
      </c>
      <c r="F137" s="117" t="s">
        <v>244</v>
      </c>
      <c r="G137" s="117" t="s">
        <v>412</v>
      </c>
      <c r="H137" s="118">
        <v>0.52083333333333337</v>
      </c>
      <c r="I137" s="119">
        <v>0.70833333333333337</v>
      </c>
      <c r="J137" s="117" t="s">
        <v>272</v>
      </c>
      <c r="K137" s="167">
        <f t="shared" si="2"/>
        <v>0.79166666666666674</v>
      </c>
      <c r="L137" s="118">
        <v>0.89583333333333337</v>
      </c>
      <c r="M137" s="117" t="s">
        <v>242</v>
      </c>
    </row>
    <row r="138" spans="1:13">
      <c r="A138" s="108" t="s">
        <v>435</v>
      </c>
      <c r="B138" s="109" t="s">
        <v>84</v>
      </c>
      <c r="C138" s="110">
        <v>46347</v>
      </c>
      <c r="D138" s="109" t="s">
        <v>238</v>
      </c>
      <c r="E138" s="111">
        <v>1</v>
      </c>
      <c r="F138" s="111" t="s">
        <v>239</v>
      </c>
      <c r="G138" s="111" t="s">
        <v>436</v>
      </c>
      <c r="H138" s="112">
        <v>0.45833333333333331</v>
      </c>
      <c r="I138" s="113">
        <v>0.64583333333333337</v>
      </c>
      <c r="J138" s="111" t="s">
        <v>291</v>
      </c>
      <c r="K138" s="167">
        <f t="shared" si="2"/>
        <v>0.72916666666666674</v>
      </c>
      <c r="L138" s="113">
        <v>0.83333333333333337</v>
      </c>
      <c r="M138" s="111" t="s">
        <v>242</v>
      </c>
    </row>
    <row r="139" spans="1:13">
      <c r="A139" s="114" t="s">
        <v>437</v>
      </c>
      <c r="B139" s="115" t="s">
        <v>84</v>
      </c>
      <c r="C139" s="116">
        <v>46347</v>
      </c>
      <c r="D139" s="115" t="s">
        <v>238</v>
      </c>
      <c r="E139" s="117">
        <v>2</v>
      </c>
      <c r="F139" s="117" t="s">
        <v>244</v>
      </c>
      <c r="G139" s="117" t="s">
        <v>438</v>
      </c>
      <c r="H139" s="118">
        <v>0.54166666666666663</v>
      </c>
      <c r="I139" s="119">
        <v>0.72916666666666663</v>
      </c>
      <c r="J139" s="117" t="s">
        <v>246</v>
      </c>
      <c r="K139" s="167">
        <f t="shared" si="2"/>
        <v>0.8125</v>
      </c>
      <c r="L139" s="119">
        <v>0.91666666666666663</v>
      </c>
      <c r="M139" s="117" t="s">
        <v>242</v>
      </c>
    </row>
    <row r="140" spans="1:13">
      <c r="A140" s="120" t="s">
        <v>439</v>
      </c>
      <c r="B140" s="121" t="s">
        <v>84</v>
      </c>
      <c r="C140" s="122">
        <v>46347</v>
      </c>
      <c r="D140" s="121" t="s">
        <v>238</v>
      </c>
      <c r="E140" s="123">
        <v>3</v>
      </c>
      <c r="F140" s="123" t="s">
        <v>248</v>
      </c>
      <c r="G140" s="123" t="s">
        <v>440</v>
      </c>
      <c r="H140" s="124">
        <v>0.58333333333333337</v>
      </c>
      <c r="I140" s="125">
        <v>0.77083333333333337</v>
      </c>
      <c r="J140" s="123" t="s">
        <v>261</v>
      </c>
      <c r="K140" s="167">
        <f t="shared" si="2"/>
        <v>0.85416666666666674</v>
      </c>
      <c r="L140" s="125">
        <v>0.95833333333333337</v>
      </c>
      <c r="M140" s="123" t="s">
        <v>242</v>
      </c>
    </row>
    <row r="141" spans="1:13">
      <c r="A141" s="108" t="s">
        <v>441</v>
      </c>
      <c r="B141" s="109" t="s">
        <v>84</v>
      </c>
      <c r="C141" s="110">
        <v>46350</v>
      </c>
      <c r="D141" s="109" t="s">
        <v>238</v>
      </c>
      <c r="E141" s="111">
        <v>1</v>
      </c>
      <c r="F141" s="111" t="s">
        <v>239</v>
      </c>
      <c r="G141" s="111" t="s">
        <v>440</v>
      </c>
      <c r="H141" s="112">
        <v>0.45833333333333331</v>
      </c>
      <c r="I141" s="113">
        <v>0.64583333333333337</v>
      </c>
      <c r="J141" s="111" t="s">
        <v>258</v>
      </c>
      <c r="K141" s="167">
        <f t="shared" si="2"/>
        <v>0.72916666666666674</v>
      </c>
      <c r="L141" s="113">
        <v>0.83333333333333337</v>
      </c>
      <c r="M141" s="111" t="s">
        <v>242</v>
      </c>
    </row>
    <row r="142" spans="1:13">
      <c r="A142" s="114" t="s">
        <v>442</v>
      </c>
      <c r="B142" s="115" t="s">
        <v>84</v>
      </c>
      <c r="C142" s="116">
        <v>46350</v>
      </c>
      <c r="D142" s="115" t="s">
        <v>238</v>
      </c>
      <c r="E142" s="117">
        <v>2</v>
      </c>
      <c r="F142" s="117" t="s">
        <v>244</v>
      </c>
      <c r="G142" s="117" t="s">
        <v>436</v>
      </c>
      <c r="H142" s="118">
        <v>0.47916666666666669</v>
      </c>
      <c r="I142" s="119">
        <v>0.66666666666666663</v>
      </c>
      <c r="J142" s="117" t="s">
        <v>241</v>
      </c>
      <c r="K142" s="167">
        <f t="shared" si="2"/>
        <v>0.75</v>
      </c>
      <c r="L142" s="118">
        <v>0.85416666666666663</v>
      </c>
      <c r="M142" s="117" t="s">
        <v>242</v>
      </c>
    </row>
    <row r="143" spans="1:13">
      <c r="A143" s="120" t="s">
        <v>443</v>
      </c>
      <c r="B143" s="121" t="s">
        <v>84</v>
      </c>
      <c r="C143" s="122">
        <v>46350</v>
      </c>
      <c r="D143" s="121" t="s">
        <v>238</v>
      </c>
      <c r="E143" s="123">
        <v>3</v>
      </c>
      <c r="F143" s="123" t="s">
        <v>248</v>
      </c>
      <c r="G143" s="123" t="s">
        <v>438</v>
      </c>
      <c r="H143" s="124">
        <v>0.54166666666666663</v>
      </c>
      <c r="I143" s="125">
        <v>0.72916666666666663</v>
      </c>
      <c r="J143" s="123" t="s">
        <v>246</v>
      </c>
      <c r="K143" s="167">
        <f t="shared" si="2"/>
        <v>0.8125</v>
      </c>
      <c r="L143" s="125">
        <v>0.91666666666666663</v>
      </c>
      <c r="M143" s="123" t="s">
        <v>242</v>
      </c>
    </row>
    <row r="144" spans="1:13">
      <c r="A144" s="108" t="s">
        <v>444</v>
      </c>
      <c r="B144" s="109" t="s">
        <v>84</v>
      </c>
      <c r="C144" s="110">
        <v>46353</v>
      </c>
      <c r="D144" s="109" t="s">
        <v>257</v>
      </c>
      <c r="E144" s="111">
        <v>1</v>
      </c>
      <c r="F144" s="111" t="s">
        <v>239</v>
      </c>
      <c r="G144" s="111" t="s">
        <v>436</v>
      </c>
      <c r="H144" s="112">
        <v>0.47916666666666669</v>
      </c>
      <c r="I144" s="113">
        <v>0.66666666666666663</v>
      </c>
      <c r="J144" s="111" t="s">
        <v>258</v>
      </c>
      <c r="K144" s="167">
        <f t="shared" si="2"/>
        <v>0.75</v>
      </c>
      <c r="L144" s="113">
        <v>0.85416666666666663</v>
      </c>
      <c r="M144" s="111" t="s">
        <v>242</v>
      </c>
    </row>
    <row r="145" spans="1:13">
      <c r="A145" s="114" t="s">
        <v>445</v>
      </c>
      <c r="B145" s="115" t="s">
        <v>84</v>
      </c>
      <c r="C145" s="116">
        <v>46353</v>
      </c>
      <c r="D145" s="115" t="s">
        <v>257</v>
      </c>
      <c r="E145" s="117">
        <v>2</v>
      </c>
      <c r="F145" s="117" t="s">
        <v>244</v>
      </c>
      <c r="G145" s="117" t="s">
        <v>438</v>
      </c>
      <c r="H145" s="118">
        <v>0.5625</v>
      </c>
      <c r="I145" s="119">
        <v>0.75</v>
      </c>
      <c r="J145" s="117" t="s">
        <v>250</v>
      </c>
      <c r="K145" s="167">
        <f t="shared" si="2"/>
        <v>0.83333333333333337</v>
      </c>
      <c r="L145" s="119">
        <v>0.9375</v>
      </c>
      <c r="M145" s="117" t="s">
        <v>242</v>
      </c>
    </row>
    <row r="146" spans="1:13">
      <c r="A146" s="120" t="s">
        <v>446</v>
      </c>
      <c r="B146" s="121" t="s">
        <v>84</v>
      </c>
      <c r="C146" s="122">
        <v>46353</v>
      </c>
      <c r="D146" s="121" t="s">
        <v>257</v>
      </c>
      <c r="E146" s="123">
        <v>3</v>
      </c>
      <c r="F146" s="123" t="s">
        <v>248</v>
      </c>
      <c r="G146" s="123" t="s">
        <v>440</v>
      </c>
      <c r="H146" s="124">
        <v>0.60416666666666663</v>
      </c>
      <c r="I146" s="125">
        <v>0.79166666666666663</v>
      </c>
      <c r="J146" s="123" t="s">
        <v>261</v>
      </c>
      <c r="K146" s="167">
        <f t="shared" si="2"/>
        <v>0.875</v>
      </c>
      <c r="L146" s="125">
        <v>0.97916666666666663</v>
      </c>
      <c r="M146" s="123" t="s">
        <v>242</v>
      </c>
    </row>
  </sheetData>
  <autoFilter ref="A2:M146" xr:uid="{15D52FB6-F81B-4514-8467-104A54BC1B52}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A84B"/>
  </sheetPr>
  <dimension ref="A1:M75"/>
  <sheetViews>
    <sheetView showGridLines="0" zoomScaleNormal="100" workbookViewId="0">
      <pane ySplit="3" topLeftCell="A4" activePane="bottomLeft" state="frozen"/>
      <selection pane="bottomLeft" activeCell="L13" sqref="L13"/>
    </sheetView>
  </sheetViews>
  <sheetFormatPr defaultColWidth="8.5703125" defaultRowHeight="15" customHeight="1"/>
  <cols>
    <col min="1" max="1" width="10" customWidth="1"/>
    <col min="2" max="2" width="30.42578125" style="199" customWidth="1"/>
    <col min="3" max="3" width="8" customWidth="1"/>
    <col min="4" max="4" width="14" customWidth="1"/>
    <col min="5" max="5" width="5" customWidth="1"/>
    <col min="6" max="6" width="14" customWidth="1"/>
    <col min="7" max="7" width="20" customWidth="1"/>
    <col min="8" max="8" width="10" customWidth="1"/>
    <col min="9" max="9" width="15" customWidth="1"/>
    <col min="10" max="10" width="12" customWidth="1"/>
  </cols>
  <sheetData>
    <row r="1" spans="1:12" ht="24" customHeight="1">
      <c r="A1" s="272" t="s">
        <v>447</v>
      </c>
      <c r="B1" s="272"/>
      <c r="C1" s="272"/>
      <c r="D1" s="272"/>
      <c r="E1" s="272"/>
      <c r="F1" s="272"/>
      <c r="G1" s="272"/>
      <c r="H1" s="272"/>
      <c r="I1" s="272"/>
      <c r="J1" s="272"/>
    </row>
    <row r="2" spans="1:12" ht="13.5" customHeight="1">
      <c r="A2" s="273" t="s">
        <v>448</v>
      </c>
      <c r="B2" s="273"/>
      <c r="C2" s="273"/>
      <c r="D2" s="273"/>
      <c r="E2" s="273"/>
      <c r="F2" s="273"/>
      <c r="G2" s="273"/>
      <c r="H2" s="273"/>
      <c r="I2" s="273"/>
      <c r="J2" s="273"/>
    </row>
    <row r="3" spans="1:12" ht="25.5" customHeight="1">
      <c r="A3" s="17" t="s">
        <v>449</v>
      </c>
      <c r="B3" s="195" t="s">
        <v>225</v>
      </c>
      <c r="C3" s="17" t="s">
        <v>450</v>
      </c>
      <c r="D3" s="17" t="s">
        <v>451</v>
      </c>
      <c r="E3" s="17" t="s">
        <v>452</v>
      </c>
      <c r="F3" s="17" t="s">
        <v>453</v>
      </c>
      <c r="G3" s="17" t="s">
        <v>232</v>
      </c>
      <c r="H3" s="17" t="s">
        <v>454</v>
      </c>
      <c r="I3" s="17" t="s">
        <v>455</v>
      </c>
      <c r="J3" s="17" t="s">
        <v>226</v>
      </c>
    </row>
    <row r="4" spans="1:12" ht="16.5" customHeight="1">
      <c r="A4" s="5">
        <v>1</v>
      </c>
      <c r="B4" s="196">
        <v>46345</v>
      </c>
      <c r="C4" s="6" t="s">
        <v>456</v>
      </c>
      <c r="D4" s="5" t="s">
        <v>457</v>
      </c>
      <c r="E4" s="18" t="s">
        <v>452</v>
      </c>
      <c r="F4" s="5" t="s">
        <v>458</v>
      </c>
      <c r="G4" s="200" t="s">
        <v>459</v>
      </c>
      <c r="H4" s="6" t="s">
        <v>460</v>
      </c>
      <c r="I4" s="191">
        <f>H4+TIME(2,0,0)</f>
        <v>0.85416666666666674</v>
      </c>
      <c r="J4" s="6" t="s">
        <v>461</v>
      </c>
    </row>
    <row r="5" spans="1:12" ht="16.5" customHeight="1">
      <c r="A5" s="10">
        <v>2</v>
      </c>
      <c r="B5" s="197">
        <v>46345</v>
      </c>
      <c r="C5" s="11" t="s">
        <v>456</v>
      </c>
      <c r="D5" s="10" t="s">
        <v>462</v>
      </c>
      <c r="E5" s="18" t="s">
        <v>452</v>
      </c>
      <c r="F5" s="10" t="s">
        <v>463</v>
      </c>
      <c r="G5" s="11" t="s">
        <v>464</v>
      </c>
      <c r="H5" s="11" t="s">
        <v>465</v>
      </c>
      <c r="I5" s="192">
        <f t="shared" ref="I5:I68" si="0">H5+TIME(2,0,0)</f>
        <v>0.79166666666666674</v>
      </c>
      <c r="J5" s="11" t="s">
        <v>461</v>
      </c>
    </row>
    <row r="6" spans="1:12" ht="16.5" customHeight="1">
      <c r="A6" s="5">
        <v>3</v>
      </c>
      <c r="B6" s="196">
        <v>46345</v>
      </c>
      <c r="C6" s="6" t="s">
        <v>466</v>
      </c>
      <c r="D6" s="5" t="s">
        <v>467</v>
      </c>
      <c r="E6" s="18" t="s">
        <v>452</v>
      </c>
      <c r="F6" s="5" t="s">
        <v>468</v>
      </c>
      <c r="G6" s="6" t="s">
        <v>469</v>
      </c>
      <c r="H6" s="6" t="s">
        <v>470</v>
      </c>
      <c r="I6" s="191">
        <f t="shared" si="0"/>
        <v>0.77083333333333337</v>
      </c>
      <c r="J6" s="6" t="s">
        <v>461</v>
      </c>
    </row>
    <row r="7" spans="1:12" ht="16.5" customHeight="1">
      <c r="A7" s="10">
        <v>4</v>
      </c>
      <c r="B7" s="197">
        <v>46345</v>
      </c>
      <c r="C7" s="11" t="s">
        <v>466</v>
      </c>
      <c r="D7" s="10" t="s">
        <v>471</v>
      </c>
      <c r="E7" s="18" t="s">
        <v>452</v>
      </c>
      <c r="F7" s="10" t="s">
        <v>472</v>
      </c>
      <c r="G7" s="11" t="s">
        <v>473</v>
      </c>
      <c r="H7" s="11" t="s">
        <v>474</v>
      </c>
      <c r="I7" s="192">
        <f t="shared" si="0"/>
        <v>0.75</v>
      </c>
      <c r="J7" s="11" t="s">
        <v>461</v>
      </c>
    </row>
    <row r="8" spans="1:12" ht="16.5" customHeight="1">
      <c r="A8" s="5">
        <v>5</v>
      </c>
      <c r="B8" s="196">
        <v>46345</v>
      </c>
      <c r="C8" s="6" t="s">
        <v>475</v>
      </c>
      <c r="D8" s="5" t="s">
        <v>476</v>
      </c>
      <c r="E8" s="18" t="s">
        <v>452</v>
      </c>
      <c r="F8" s="5" t="s">
        <v>477</v>
      </c>
      <c r="G8" s="6" t="s">
        <v>478</v>
      </c>
      <c r="H8" s="6" t="s">
        <v>479</v>
      </c>
      <c r="I8" s="191">
        <f t="shared" si="0"/>
        <v>0.875</v>
      </c>
      <c r="J8" s="6" t="s">
        <v>461</v>
      </c>
    </row>
    <row r="9" spans="1:12" ht="16.5" customHeight="1">
      <c r="A9" s="10">
        <v>6</v>
      </c>
      <c r="B9" s="197">
        <v>46345</v>
      </c>
      <c r="C9" s="11" t="s">
        <v>475</v>
      </c>
      <c r="D9" s="10" t="s">
        <v>480</v>
      </c>
      <c r="E9" s="18" t="s">
        <v>452</v>
      </c>
      <c r="F9" s="10" t="s">
        <v>481</v>
      </c>
      <c r="G9" s="11" t="s">
        <v>459</v>
      </c>
      <c r="H9" s="11" t="s">
        <v>482</v>
      </c>
      <c r="I9" s="192">
        <f t="shared" si="0"/>
        <v>0.83333333333333337</v>
      </c>
      <c r="J9" s="11" t="s">
        <v>461</v>
      </c>
      <c r="L9" s="193"/>
    </row>
    <row r="10" spans="1:12" ht="16.5" customHeight="1">
      <c r="A10" s="5">
        <v>7</v>
      </c>
      <c r="B10" s="196">
        <v>46345</v>
      </c>
      <c r="C10" s="6" t="s">
        <v>483</v>
      </c>
      <c r="D10" s="5" t="s">
        <v>484</v>
      </c>
      <c r="E10" s="18" t="s">
        <v>452</v>
      </c>
      <c r="F10" s="5" t="s">
        <v>485</v>
      </c>
      <c r="G10" s="6" t="s">
        <v>486</v>
      </c>
      <c r="H10" s="6" t="s">
        <v>474</v>
      </c>
      <c r="I10" s="191">
        <f t="shared" si="0"/>
        <v>0.75</v>
      </c>
      <c r="J10" s="6" t="s">
        <v>461</v>
      </c>
    </row>
    <row r="11" spans="1:12" ht="16.5" customHeight="1">
      <c r="A11" s="10">
        <v>8</v>
      </c>
      <c r="B11" s="197">
        <v>46345</v>
      </c>
      <c r="C11" s="11" t="s">
        <v>483</v>
      </c>
      <c r="D11" s="10" t="s">
        <v>487</v>
      </c>
      <c r="E11" s="18" t="s">
        <v>452</v>
      </c>
      <c r="F11" s="10" t="s">
        <v>488</v>
      </c>
      <c r="G11" s="11" t="s">
        <v>489</v>
      </c>
      <c r="H11" s="11" t="s">
        <v>479</v>
      </c>
      <c r="I11" s="192">
        <f t="shared" si="0"/>
        <v>0.875</v>
      </c>
      <c r="J11" s="11" t="s">
        <v>461</v>
      </c>
    </row>
    <row r="12" spans="1:12" ht="16.5" customHeight="1">
      <c r="A12" s="5">
        <v>9</v>
      </c>
      <c r="B12" s="196">
        <v>46346</v>
      </c>
      <c r="C12" s="6" t="s">
        <v>490</v>
      </c>
      <c r="D12" s="5" t="s">
        <v>491</v>
      </c>
      <c r="E12" s="18" t="s">
        <v>452</v>
      </c>
      <c r="F12" s="5" t="s">
        <v>492</v>
      </c>
      <c r="G12" s="6" t="s">
        <v>469</v>
      </c>
      <c r="H12" s="6" t="s">
        <v>482</v>
      </c>
      <c r="I12" s="191">
        <f t="shared" si="0"/>
        <v>0.83333333333333337</v>
      </c>
      <c r="J12" s="6" t="s">
        <v>461</v>
      </c>
    </row>
    <row r="13" spans="1:12" ht="16.5" customHeight="1">
      <c r="A13" s="10">
        <v>10</v>
      </c>
      <c r="B13" s="197">
        <v>46346</v>
      </c>
      <c r="C13" s="11" t="s">
        <v>490</v>
      </c>
      <c r="D13" s="10" t="s">
        <v>493</v>
      </c>
      <c r="E13" s="18" t="s">
        <v>452</v>
      </c>
      <c r="F13" s="10" t="s">
        <v>494</v>
      </c>
      <c r="G13" s="11" t="s">
        <v>464</v>
      </c>
      <c r="H13" s="11" t="s">
        <v>479</v>
      </c>
      <c r="I13" s="192">
        <f t="shared" si="0"/>
        <v>0.875</v>
      </c>
      <c r="J13" s="11" t="s">
        <v>461</v>
      </c>
    </row>
    <row r="14" spans="1:12" ht="16.5" customHeight="1">
      <c r="A14" s="5">
        <v>11</v>
      </c>
      <c r="B14" s="196">
        <v>46346</v>
      </c>
      <c r="C14" s="6" t="s">
        <v>495</v>
      </c>
      <c r="D14" s="5" t="s">
        <v>496</v>
      </c>
      <c r="E14" s="18" t="s">
        <v>452</v>
      </c>
      <c r="F14" s="5" t="s">
        <v>497</v>
      </c>
      <c r="G14" s="6" t="s">
        <v>459</v>
      </c>
      <c r="H14" s="6" t="s">
        <v>460</v>
      </c>
      <c r="I14" s="191">
        <f t="shared" si="0"/>
        <v>0.85416666666666674</v>
      </c>
      <c r="J14" s="6" t="s">
        <v>461</v>
      </c>
    </row>
    <row r="15" spans="1:12" ht="16.5" customHeight="1">
      <c r="A15" s="10">
        <v>12</v>
      </c>
      <c r="B15" s="197">
        <v>46346</v>
      </c>
      <c r="C15" s="11" t="s">
        <v>495</v>
      </c>
      <c r="D15" s="10" t="s">
        <v>498</v>
      </c>
      <c r="E15" s="18" t="s">
        <v>452</v>
      </c>
      <c r="F15" s="10" t="s">
        <v>499</v>
      </c>
      <c r="G15" s="11" t="s">
        <v>473</v>
      </c>
      <c r="H15" s="11" t="s">
        <v>474</v>
      </c>
      <c r="I15" s="192">
        <f t="shared" si="0"/>
        <v>0.75</v>
      </c>
      <c r="J15" s="11" t="s">
        <v>461</v>
      </c>
    </row>
    <row r="16" spans="1:12" ht="16.5" customHeight="1">
      <c r="A16" s="5">
        <v>13</v>
      </c>
      <c r="B16" s="196">
        <v>46346</v>
      </c>
      <c r="C16" s="6" t="s">
        <v>500</v>
      </c>
      <c r="D16" s="5" t="s">
        <v>501</v>
      </c>
      <c r="E16" s="18" t="s">
        <v>452</v>
      </c>
      <c r="F16" s="5" t="s">
        <v>502</v>
      </c>
      <c r="G16" s="6" t="s">
        <v>478</v>
      </c>
      <c r="H16" s="6" t="s">
        <v>470</v>
      </c>
      <c r="I16" s="191">
        <f t="shared" si="0"/>
        <v>0.77083333333333337</v>
      </c>
      <c r="J16" s="6" t="s">
        <v>461</v>
      </c>
    </row>
    <row r="17" spans="1:10" ht="16.5" customHeight="1">
      <c r="A17" s="10">
        <v>14</v>
      </c>
      <c r="B17" s="197">
        <v>46346</v>
      </c>
      <c r="C17" s="11" t="s">
        <v>500</v>
      </c>
      <c r="D17" s="10" t="s">
        <v>503</v>
      </c>
      <c r="E17" s="18" t="s">
        <v>452</v>
      </c>
      <c r="F17" s="10" t="s">
        <v>504</v>
      </c>
      <c r="G17" s="11" t="s">
        <v>486</v>
      </c>
      <c r="H17" s="11" t="s">
        <v>474</v>
      </c>
      <c r="I17" s="192">
        <f t="shared" si="0"/>
        <v>0.75</v>
      </c>
      <c r="J17" s="11" t="s">
        <v>461</v>
      </c>
    </row>
    <row r="18" spans="1:10" ht="16.5" customHeight="1">
      <c r="A18" s="5">
        <v>15</v>
      </c>
      <c r="B18" s="196">
        <v>46346</v>
      </c>
      <c r="C18" s="6" t="s">
        <v>505</v>
      </c>
      <c r="D18" s="5" t="s">
        <v>506</v>
      </c>
      <c r="E18" s="18" t="s">
        <v>452</v>
      </c>
      <c r="F18" s="5" t="s">
        <v>507</v>
      </c>
      <c r="G18" s="6" t="s">
        <v>489</v>
      </c>
      <c r="H18" s="6" t="s">
        <v>479</v>
      </c>
      <c r="I18" s="191">
        <f t="shared" si="0"/>
        <v>0.875</v>
      </c>
      <c r="J18" s="6" t="s">
        <v>461</v>
      </c>
    </row>
    <row r="19" spans="1:10" ht="16.5" customHeight="1">
      <c r="A19" s="10">
        <v>16</v>
      </c>
      <c r="B19" s="197">
        <v>46346</v>
      </c>
      <c r="C19" s="11" t="s">
        <v>505</v>
      </c>
      <c r="D19" s="10" t="s">
        <v>508</v>
      </c>
      <c r="E19" s="18" t="s">
        <v>452</v>
      </c>
      <c r="F19" s="10" t="s">
        <v>509</v>
      </c>
      <c r="G19" s="11" t="s">
        <v>510</v>
      </c>
      <c r="H19" s="11" t="s">
        <v>465</v>
      </c>
      <c r="I19" s="192">
        <f t="shared" si="0"/>
        <v>0.79166666666666674</v>
      </c>
      <c r="J19" s="11" t="s">
        <v>461</v>
      </c>
    </row>
    <row r="20" spans="1:10" ht="16.5" customHeight="1">
      <c r="A20" s="5">
        <v>17</v>
      </c>
      <c r="B20" s="196">
        <v>46347</v>
      </c>
      <c r="C20" s="6" t="s">
        <v>511</v>
      </c>
      <c r="D20" s="5" t="s">
        <v>512</v>
      </c>
      <c r="E20" s="18" t="s">
        <v>452</v>
      </c>
      <c r="F20" s="5" t="s">
        <v>513</v>
      </c>
      <c r="G20" s="6" t="s">
        <v>459</v>
      </c>
      <c r="H20" s="6" t="s">
        <v>482</v>
      </c>
      <c r="I20" s="191">
        <f t="shared" si="0"/>
        <v>0.83333333333333337</v>
      </c>
      <c r="J20" s="6" t="s">
        <v>461</v>
      </c>
    </row>
    <row r="21" spans="1:10" ht="16.5" customHeight="1">
      <c r="A21" s="10">
        <v>18</v>
      </c>
      <c r="B21" s="197">
        <v>46347</v>
      </c>
      <c r="C21" s="11" t="s">
        <v>511</v>
      </c>
      <c r="D21" s="10" t="s">
        <v>514</v>
      </c>
      <c r="E21" s="18" t="s">
        <v>452</v>
      </c>
      <c r="F21" s="10" t="s">
        <v>515</v>
      </c>
      <c r="G21" s="11" t="s">
        <v>516</v>
      </c>
      <c r="H21" s="11" t="s">
        <v>474</v>
      </c>
      <c r="I21" s="192">
        <f t="shared" si="0"/>
        <v>0.75</v>
      </c>
      <c r="J21" s="11" t="s">
        <v>461</v>
      </c>
    </row>
    <row r="22" spans="1:10" ht="16.5" customHeight="1">
      <c r="A22" s="5">
        <v>19</v>
      </c>
      <c r="B22" s="196">
        <v>46347</v>
      </c>
      <c r="C22" s="6" t="s">
        <v>517</v>
      </c>
      <c r="D22" s="5" t="s">
        <v>438</v>
      </c>
      <c r="E22" s="18" t="s">
        <v>452</v>
      </c>
      <c r="F22" s="5" t="s">
        <v>518</v>
      </c>
      <c r="G22" s="6" t="s">
        <v>486</v>
      </c>
      <c r="H22" s="6" t="s">
        <v>519</v>
      </c>
      <c r="I22" s="191">
        <f t="shared" si="0"/>
        <v>0.8125</v>
      </c>
      <c r="J22" s="6" t="s">
        <v>461</v>
      </c>
    </row>
    <row r="23" spans="1:10" ht="16.5" customHeight="1">
      <c r="A23" s="10">
        <v>20</v>
      </c>
      <c r="B23" s="197">
        <v>46347</v>
      </c>
      <c r="C23" s="11" t="s">
        <v>517</v>
      </c>
      <c r="D23" s="10" t="s">
        <v>520</v>
      </c>
      <c r="E23" s="18" t="s">
        <v>452</v>
      </c>
      <c r="F23" s="10" t="s">
        <v>521</v>
      </c>
      <c r="G23" s="11" t="s">
        <v>516</v>
      </c>
      <c r="H23" s="11" t="s">
        <v>470</v>
      </c>
      <c r="I23" s="192">
        <f t="shared" si="0"/>
        <v>0.77083333333333337</v>
      </c>
      <c r="J23" s="11" t="s">
        <v>461</v>
      </c>
    </row>
    <row r="24" spans="1:10" ht="16.5" customHeight="1">
      <c r="A24" s="5">
        <v>21</v>
      </c>
      <c r="B24" s="196">
        <v>46347</v>
      </c>
      <c r="C24" s="6" t="s">
        <v>522</v>
      </c>
      <c r="D24" s="5" t="s">
        <v>523</v>
      </c>
      <c r="E24" s="18" t="s">
        <v>452</v>
      </c>
      <c r="F24" s="5" t="s">
        <v>524</v>
      </c>
      <c r="G24" s="6" t="s">
        <v>510</v>
      </c>
      <c r="H24" s="6" t="s">
        <v>460</v>
      </c>
      <c r="I24" s="191">
        <f t="shared" si="0"/>
        <v>0.85416666666666674</v>
      </c>
      <c r="J24" s="6" t="s">
        <v>461</v>
      </c>
    </row>
    <row r="25" spans="1:10" ht="16.5" customHeight="1">
      <c r="A25" s="10">
        <v>22</v>
      </c>
      <c r="B25" s="197">
        <v>46347</v>
      </c>
      <c r="C25" s="11" t="s">
        <v>522</v>
      </c>
      <c r="D25" s="10" t="s">
        <v>525</v>
      </c>
      <c r="E25" s="18" t="s">
        <v>452</v>
      </c>
      <c r="F25" s="10" t="s">
        <v>526</v>
      </c>
      <c r="G25" s="11" t="s">
        <v>469</v>
      </c>
      <c r="H25" s="11" t="s">
        <v>460</v>
      </c>
      <c r="I25" s="192">
        <f t="shared" si="0"/>
        <v>0.85416666666666674</v>
      </c>
      <c r="J25" s="11" t="s">
        <v>461</v>
      </c>
    </row>
    <row r="26" spans="1:10" ht="16.5" customHeight="1">
      <c r="A26" s="5">
        <v>23</v>
      </c>
      <c r="B26" s="196">
        <v>46347</v>
      </c>
      <c r="C26" s="6" t="s">
        <v>527</v>
      </c>
      <c r="D26" s="5" t="s">
        <v>528</v>
      </c>
      <c r="E26" s="18" t="s">
        <v>452</v>
      </c>
      <c r="F26" s="5" t="s">
        <v>529</v>
      </c>
      <c r="G26" s="6" t="s">
        <v>478</v>
      </c>
      <c r="H26" s="6" t="s">
        <v>530</v>
      </c>
      <c r="I26" s="191">
        <f t="shared" si="0"/>
        <v>0.72916666666666674</v>
      </c>
      <c r="J26" s="6" t="s">
        <v>461</v>
      </c>
    </row>
    <row r="27" spans="1:10" ht="16.5" customHeight="1">
      <c r="A27" s="10">
        <v>24</v>
      </c>
      <c r="B27" s="197">
        <v>46347</v>
      </c>
      <c r="C27" s="11" t="s">
        <v>527</v>
      </c>
      <c r="D27" s="10" t="s">
        <v>531</v>
      </c>
      <c r="E27" s="18" t="s">
        <v>452</v>
      </c>
      <c r="F27" s="10" t="s">
        <v>532</v>
      </c>
      <c r="G27" s="11" t="s">
        <v>473</v>
      </c>
      <c r="H27" s="11" t="s">
        <v>530</v>
      </c>
      <c r="I27" s="192">
        <f t="shared" si="0"/>
        <v>0.72916666666666674</v>
      </c>
      <c r="J27" s="11" t="s">
        <v>461</v>
      </c>
    </row>
    <row r="28" spans="1:10" ht="16.5" customHeight="1">
      <c r="A28" s="5">
        <v>25</v>
      </c>
      <c r="B28" s="196">
        <v>46348</v>
      </c>
      <c r="C28" s="6" t="s">
        <v>456</v>
      </c>
      <c r="D28" s="5" t="s">
        <v>457</v>
      </c>
      <c r="E28" s="18" t="s">
        <v>452</v>
      </c>
      <c r="F28" s="5" t="s">
        <v>462</v>
      </c>
      <c r="G28" s="6" t="s">
        <v>459</v>
      </c>
      <c r="H28" s="6" t="s">
        <v>482</v>
      </c>
      <c r="I28" s="191">
        <f t="shared" si="0"/>
        <v>0.83333333333333337</v>
      </c>
      <c r="J28" s="6" t="s">
        <v>461</v>
      </c>
    </row>
    <row r="29" spans="1:10" ht="16.5" customHeight="1">
      <c r="A29" s="10">
        <v>26</v>
      </c>
      <c r="B29" s="197">
        <v>46348</v>
      </c>
      <c r="C29" s="11" t="s">
        <v>456</v>
      </c>
      <c r="D29" s="10" t="s">
        <v>463</v>
      </c>
      <c r="E29" s="18" t="s">
        <v>452</v>
      </c>
      <c r="F29" s="10" t="s">
        <v>458</v>
      </c>
      <c r="G29" s="11" t="s">
        <v>516</v>
      </c>
      <c r="H29" s="11" t="s">
        <v>530</v>
      </c>
      <c r="I29" s="192">
        <f t="shared" si="0"/>
        <v>0.72916666666666674</v>
      </c>
      <c r="J29" s="11" t="s">
        <v>461</v>
      </c>
    </row>
    <row r="30" spans="1:10" ht="16.5" customHeight="1">
      <c r="A30" s="5">
        <v>27</v>
      </c>
      <c r="B30" s="196">
        <v>46348</v>
      </c>
      <c r="C30" s="6" t="s">
        <v>466</v>
      </c>
      <c r="D30" s="5" t="s">
        <v>467</v>
      </c>
      <c r="E30" s="18" t="s">
        <v>452</v>
      </c>
      <c r="F30" s="5" t="s">
        <v>471</v>
      </c>
      <c r="G30" s="6" t="s">
        <v>469</v>
      </c>
      <c r="H30" s="6" t="s">
        <v>519</v>
      </c>
      <c r="I30" s="191">
        <f t="shared" si="0"/>
        <v>0.8125</v>
      </c>
      <c r="J30" s="6" t="s">
        <v>461</v>
      </c>
    </row>
    <row r="31" spans="1:10" ht="16.5" customHeight="1">
      <c r="A31" s="10">
        <v>28</v>
      </c>
      <c r="B31" s="197">
        <v>46348</v>
      </c>
      <c r="C31" s="11" t="s">
        <v>466</v>
      </c>
      <c r="D31" s="10" t="s">
        <v>472</v>
      </c>
      <c r="E31" s="18" t="s">
        <v>452</v>
      </c>
      <c r="F31" s="10" t="s">
        <v>468</v>
      </c>
      <c r="G31" s="11" t="s">
        <v>464</v>
      </c>
      <c r="H31" s="11" t="s">
        <v>474</v>
      </c>
      <c r="I31" s="192">
        <f t="shared" si="0"/>
        <v>0.75</v>
      </c>
      <c r="J31" s="11" t="s">
        <v>461</v>
      </c>
    </row>
    <row r="32" spans="1:10" ht="16.5" customHeight="1">
      <c r="A32" s="5">
        <v>29</v>
      </c>
      <c r="B32" s="196">
        <v>46348</v>
      </c>
      <c r="C32" s="6" t="s">
        <v>475</v>
      </c>
      <c r="D32" s="5" t="s">
        <v>476</v>
      </c>
      <c r="E32" s="18" t="s">
        <v>452</v>
      </c>
      <c r="F32" s="5" t="s">
        <v>480</v>
      </c>
      <c r="G32" s="6" t="s">
        <v>510</v>
      </c>
      <c r="H32" s="6" t="s">
        <v>460</v>
      </c>
      <c r="I32" s="191">
        <f t="shared" si="0"/>
        <v>0.85416666666666674</v>
      </c>
      <c r="J32" s="6" t="s">
        <v>461</v>
      </c>
    </row>
    <row r="33" spans="1:13" ht="16.5" customHeight="1">
      <c r="A33" s="10">
        <v>30</v>
      </c>
      <c r="B33" s="197">
        <v>46348</v>
      </c>
      <c r="C33" s="11" t="s">
        <v>475</v>
      </c>
      <c r="D33" s="10" t="s">
        <v>481</v>
      </c>
      <c r="E33" s="18" t="s">
        <v>452</v>
      </c>
      <c r="F33" s="10" t="s">
        <v>477</v>
      </c>
      <c r="G33" s="11" t="s">
        <v>478</v>
      </c>
      <c r="H33" s="11" t="s">
        <v>530</v>
      </c>
      <c r="I33" s="192">
        <f t="shared" si="0"/>
        <v>0.72916666666666674</v>
      </c>
      <c r="J33" s="11" t="s">
        <v>461</v>
      </c>
    </row>
    <row r="34" spans="1:13" ht="16.5" customHeight="1">
      <c r="A34" s="5">
        <v>31</v>
      </c>
      <c r="B34" s="196">
        <v>46348</v>
      </c>
      <c r="C34" s="6" t="s">
        <v>483</v>
      </c>
      <c r="D34" s="5" t="s">
        <v>484</v>
      </c>
      <c r="E34" s="18" t="s">
        <v>452</v>
      </c>
      <c r="F34" s="5" t="s">
        <v>487</v>
      </c>
      <c r="G34" s="6" t="s">
        <v>473</v>
      </c>
      <c r="H34" s="6" t="s">
        <v>470</v>
      </c>
      <c r="I34" s="191">
        <f t="shared" si="0"/>
        <v>0.77083333333333337</v>
      </c>
      <c r="J34" s="6" t="s">
        <v>461</v>
      </c>
    </row>
    <row r="35" spans="1:13" ht="16.5" customHeight="1">
      <c r="A35" s="10">
        <v>32</v>
      </c>
      <c r="B35" s="197">
        <v>46348</v>
      </c>
      <c r="C35" s="11" t="s">
        <v>483</v>
      </c>
      <c r="D35" s="10" t="s">
        <v>488</v>
      </c>
      <c r="E35" s="18" t="s">
        <v>452</v>
      </c>
      <c r="F35" s="10" t="s">
        <v>485</v>
      </c>
      <c r="G35" s="11" t="s">
        <v>510</v>
      </c>
      <c r="H35" s="11" t="s">
        <v>460</v>
      </c>
      <c r="I35" s="192">
        <f t="shared" si="0"/>
        <v>0.85416666666666674</v>
      </c>
      <c r="J35" s="11" t="s">
        <v>461</v>
      </c>
    </row>
    <row r="36" spans="1:13" ht="16.5" customHeight="1">
      <c r="A36" s="5">
        <v>33</v>
      </c>
      <c r="B36" s="196">
        <v>46349</v>
      </c>
      <c r="C36" s="6" t="s">
        <v>490</v>
      </c>
      <c r="D36" s="5" t="s">
        <v>491</v>
      </c>
      <c r="E36" s="18" t="s">
        <v>452</v>
      </c>
      <c r="F36" s="5" t="s">
        <v>493</v>
      </c>
      <c r="G36" s="6" t="s">
        <v>469</v>
      </c>
      <c r="H36" s="6" t="s">
        <v>519</v>
      </c>
      <c r="I36" s="191">
        <f t="shared" si="0"/>
        <v>0.8125</v>
      </c>
      <c r="J36" s="6" t="s">
        <v>461</v>
      </c>
    </row>
    <row r="37" spans="1:13" ht="16.5" customHeight="1">
      <c r="A37" s="10">
        <v>34</v>
      </c>
      <c r="B37" s="197">
        <v>46349</v>
      </c>
      <c r="C37" s="11" t="s">
        <v>490</v>
      </c>
      <c r="D37" s="10" t="s">
        <v>494</v>
      </c>
      <c r="E37" s="18" t="s">
        <v>452</v>
      </c>
      <c r="F37" s="10" t="s">
        <v>492</v>
      </c>
      <c r="G37" s="11" t="s">
        <v>464</v>
      </c>
      <c r="H37" s="11" t="s">
        <v>474</v>
      </c>
      <c r="I37" s="192">
        <f t="shared" si="0"/>
        <v>0.75</v>
      </c>
      <c r="J37" s="11" t="s">
        <v>461</v>
      </c>
    </row>
    <row r="38" spans="1:13" ht="16.5" customHeight="1">
      <c r="A38" s="5">
        <v>35</v>
      </c>
      <c r="B38" s="196">
        <v>46349</v>
      </c>
      <c r="C38" s="6" t="s">
        <v>495</v>
      </c>
      <c r="D38" s="5" t="s">
        <v>496</v>
      </c>
      <c r="E38" s="18" t="s">
        <v>452</v>
      </c>
      <c r="F38" s="5" t="s">
        <v>498</v>
      </c>
      <c r="G38" s="6" t="s">
        <v>478</v>
      </c>
      <c r="H38" s="6" t="s">
        <v>470</v>
      </c>
      <c r="I38" s="191">
        <f t="shared" si="0"/>
        <v>0.77083333333333337</v>
      </c>
      <c r="J38" s="6" t="s">
        <v>461</v>
      </c>
    </row>
    <row r="39" spans="1:13" ht="16.5" customHeight="1">
      <c r="A39" s="10">
        <v>36</v>
      </c>
      <c r="B39" s="197">
        <v>46349</v>
      </c>
      <c r="C39" s="11" t="s">
        <v>495</v>
      </c>
      <c r="D39" s="10" t="s">
        <v>499</v>
      </c>
      <c r="E39" s="18" t="s">
        <v>452</v>
      </c>
      <c r="F39" s="10" t="s">
        <v>497</v>
      </c>
      <c r="G39" s="11" t="s">
        <v>516</v>
      </c>
      <c r="H39" s="11" t="s">
        <v>530</v>
      </c>
      <c r="I39" s="192">
        <f t="shared" si="0"/>
        <v>0.72916666666666674</v>
      </c>
      <c r="J39" s="11" t="s">
        <v>461</v>
      </c>
      <c r="M39" s="193"/>
    </row>
    <row r="40" spans="1:13" ht="16.5" customHeight="1">
      <c r="A40" s="5">
        <v>37</v>
      </c>
      <c r="B40" s="196">
        <v>46349</v>
      </c>
      <c r="C40" s="6" t="s">
        <v>500</v>
      </c>
      <c r="D40" s="5" t="s">
        <v>501</v>
      </c>
      <c r="E40" s="18" t="s">
        <v>452</v>
      </c>
      <c r="F40" s="5" t="s">
        <v>503</v>
      </c>
      <c r="G40" s="6" t="s">
        <v>486</v>
      </c>
      <c r="H40" s="6" t="s">
        <v>460</v>
      </c>
      <c r="I40" s="191">
        <f t="shared" si="0"/>
        <v>0.85416666666666674</v>
      </c>
      <c r="J40" s="6" t="s">
        <v>461</v>
      </c>
    </row>
    <row r="41" spans="1:13" ht="16.5" customHeight="1">
      <c r="A41" s="10">
        <v>38</v>
      </c>
      <c r="B41" s="197">
        <v>46349</v>
      </c>
      <c r="C41" s="11" t="s">
        <v>500</v>
      </c>
      <c r="D41" s="10" t="s">
        <v>504</v>
      </c>
      <c r="E41" s="18" t="s">
        <v>452</v>
      </c>
      <c r="F41" s="10" t="s">
        <v>502</v>
      </c>
      <c r="G41" s="11" t="s">
        <v>473</v>
      </c>
      <c r="H41" s="11" t="s">
        <v>460</v>
      </c>
      <c r="I41" s="192">
        <f t="shared" si="0"/>
        <v>0.85416666666666674</v>
      </c>
      <c r="J41" s="11" t="s">
        <v>461</v>
      </c>
    </row>
    <row r="42" spans="1:13" ht="16.5" customHeight="1">
      <c r="A42" s="5">
        <v>39</v>
      </c>
      <c r="B42" s="196">
        <v>46349</v>
      </c>
      <c r="C42" s="6" t="s">
        <v>505</v>
      </c>
      <c r="D42" s="5" t="s">
        <v>506</v>
      </c>
      <c r="E42" s="18" t="s">
        <v>452</v>
      </c>
      <c r="F42" s="5" t="s">
        <v>508</v>
      </c>
      <c r="G42" s="6" t="s">
        <v>510</v>
      </c>
      <c r="H42" s="6" t="s">
        <v>530</v>
      </c>
      <c r="I42" s="191">
        <f t="shared" si="0"/>
        <v>0.72916666666666674</v>
      </c>
      <c r="J42" s="6" t="s">
        <v>461</v>
      </c>
    </row>
    <row r="43" spans="1:13" ht="16.5" customHeight="1">
      <c r="A43" s="10">
        <v>40</v>
      </c>
      <c r="B43" s="197">
        <v>46349</v>
      </c>
      <c r="C43" s="11" t="s">
        <v>505</v>
      </c>
      <c r="D43" s="10" t="s">
        <v>509</v>
      </c>
      <c r="E43" s="18" t="s">
        <v>452</v>
      </c>
      <c r="F43" s="10" t="s">
        <v>507</v>
      </c>
      <c r="G43" s="11" t="s">
        <v>459</v>
      </c>
      <c r="H43" s="11" t="s">
        <v>482</v>
      </c>
      <c r="I43" s="192">
        <f t="shared" si="0"/>
        <v>0.83333333333333337</v>
      </c>
      <c r="J43" s="11" t="s">
        <v>461</v>
      </c>
    </row>
    <row r="44" spans="1:13" ht="16.5" customHeight="1">
      <c r="A44" s="5">
        <v>41</v>
      </c>
      <c r="B44" s="196">
        <v>46350</v>
      </c>
      <c r="C44" s="6" t="s">
        <v>511</v>
      </c>
      <c r="D44" s="5" t="s">
        <v>512</v>
      </c>
      <c r="E44" s="18" t="s">
        <v>452</v>
      </c>
      <c r="F44" s="5" t="s">
        <v>514</v>
      </c>
      <c r="G44" s="6" t="s">
        <v>459</v>
      </c>
      <c r="H44" s="6" t="s">
        <v>482</v>
      </c>
      <c r="I44" s="191">
        <f t="shared" si="0"/>
        <v>0.83333333333333337</v>
      </c>
      <c r="J44" s="6" t="s">
        <v>461</v>
      </c>
    </row>
    <row r="45" spans="1:13" ht="16.5" customHeight="1">
      <c r="A45" s="10">
        <v>42</v>
      </c>
      <c r="B45" s="197">
        <v>46350</v>
      </c>
      <c r="C45" s="11" t="s">
        <v>511</v>
      </c>
      <c r="D45" s="10" t="s">
        <v>515</v>
      </c>
      <c r="E45" s="18" t="s">
        <v>452</v>
      </c>
      <c r="F45" s="10" t="s">
        <v>513</v>
      </c>
      <c r="G45" s="11" t="s">
        <v>473</v>
      </c>
      <c r="H45" s="11" t="s">
        <v>530</v>
      </c>
      <c r="I45" s="192">
        <f t="shared" si="0"/>
        <v>0.72916666666666674</v>
      </c>
      <c r="J45" s="11" t="s">
        <v>461</v>
      </c>
    </row>
    <row r="46" spans="1:13" ht="16.5" customHeight="1">
      <c r="A46" s="5">
        <v>43</v>
      </c>
      <c r="B46" s="196">
        <v>46350</v>
      </c>
      <c r="C46" s="6" t="s">
        <v>517</v>
      </c>
      <c r="D46" s="5" t="s">
        <v>438</v>
      </c>
      <c r="E46" s="18" t="s">
        <v>452</v>
      </c>
      <c r="F46" s="5" t="s">
        <v>520</v>
      </c>
      <c r="G46" s="6" t="s">
        <v>469</v>
      </c>
      <c r="H46" s="6" t="s">
        <v>519</v>
      </c>
      <c r="I46" s="191">
        <f t="shared" si="0"/>
        <v>0.8125</v>
      </c>
      <c r="J46" s="6" t="s">
        <v>461</v>
      </c>
    </row>
    <row r="47" spans="1:13" ht="16.5" customHeight="1">
      <c r="A47" s="10">
        <v>44</v>
      </c>
      <c r="B47" s="197">
        <v>46350</v>
      </c>
      <c r="C47" s="11" t="s">
        <v>517</v>
      </c>
      <c r="D47" s="10" t="s">
        <v>521</v>
      </c>
      <c r="E47" s="18" t="s">
        <v>452</v>
      </c>
      <c r="F47" s="10" t="s">
        <v>518</v>
      </c>
      <c r="G47" s="11" t="s">
        <v>478</v>
      </c>
      <c r="H47" s="11" t="s">
        <v>470</v>
      </c>
      <c r="I47" s="192">
        <f t="shared" si="0"/>
        <v>0.77083333333333337</v>
      </c>
      <c r="J47" s="11" t="s">
        <v>461</v>
      </c>
    </row>
    <row r="48" spans="1:13" ht="16.5" customHeight="1">
      <c r="A48" s="5">
        <v>45</v>
      </c>
      <c r="B48" s="196">
        <v>46350</v>
      </c>
      <c r="C48" s="6" t="s">
        <v>522</v>
      </c>
      <c r="D48" s="5" t="s">
        <v>523</v>
      </c>
      <c r="E48" s="18" t="s">
        <v>452</v>
      </c>
      <c r="F48" s="5" t="s">
        <v>525</v>
      </c>
      <c r="G48" s="6" t="s">
        <v>486</v>
      </c>
      <c r="H48" s="6" t="s">
        <v>460</v>
      </c>
      <c r="I48" s="191">
        <f t="shared" si="0"/>
        <v>0.85416666666666674</v>
      </c>
      <c r="J48" s="6" t="s">
        <v>461</v>
      </c>
    </row>
    <row r="49" spans="1:10" ht="16.5" customHeight="1">
      <c r="A49" s="10">
        <v>46</v>
      </c>
      <c r="B49" s="197">
        <v>46350</v>
      </c>
      <c r="C49" s="11" t="s">
        <v>522</v>
      </c>
      <c r="D49" s="10" t="s">
        <v>526</v>
      </c>
      <c r="E49" s="18" t="s">
        <v>452</v>
      </c>
      <c r="F49" s="10" t="s">
        <v>524</v>
      </c>
      <c r="G49" s="11" t="s">
        <v>464</v>
      </c>
      <c r="H49" s="11" t="s">
        <v>530</v>
      </c>
      <c r="I49" s="192">
        <f t="shared" si="0"/>
        <v>0.72916666666666674</v>
      </c>
      <c r="J49" s="11" t="s">
        <v>461</v>
      </c>
    </row>
    <row r="50" spans="1:10" ht="16.5" customHeight="1">
      <c r="A50" s="5">
        <v>47</v>
      </c>
      <c r="B50" s="196">
        <v>46350</v>
      </c>
      <c r="C50" s="6" t="s">
        <v>527</v>
      </c>
      <c r="D50" s="5" t="s">
        <v>528</v>
      </c>
      <c r="E50" s="18" t="s">
        <v>452</v>
      </c>
      <c r="F50" s="5" t="s">
        <v>531</v>
      </c>
      <c r="G50" s="6" t="s">
        <v>516</v>
      </c>
      <c r="H50" s="6" t="s">
        <v>474</v>
      </c>
      <c r="I50" s="191">
        <f t="shared" si="0"/>
        <v>0.75</v>
      </c>
      <c r="J50" s="6" t="s">
        <v>461</v>
      </c>
    </row>
    <row r="51" spans="1:10" ht="16.5" customHeight="1">
      <c r="A51" s="10">
        <v>48</v>
      </c>
      <c r="B51" s="197">
        <v>46350</v>
      </c>
      <c r="C51" s="11" t="s">
        <v>527</v>
      </c>
      <c r="D51" s="10" t="s">
        <v>532</v>
      </c>
      <c r="E51" s="18" t="s">
        <v>452</v>
      </c>
      <c r="F51" s="10" t="s">
        <v>529</v>
      </c>
      <c r="G51" s="11" t="s">
        <v>510</v>
      </c>
      <c r="H51" s="11" t="s">
        <v>460</v>
      </c>
      <c r="I51" s="192">
        <f t="shared" si="0"/>
        <v>0.85416666666666674</v>
      </c>
      <c r="J51" s="11" t="s">
        <v>461</v>
      </c>
    </row>
    <row r="52" spans="1:10" ht="16.5" customHeight="1">
      <c r="A52" s="13">
        <v>49</v>
      </c>
      <c r="B52" s="198">
        <v>46351</v>
      </c>
      <c r="C52" s="14" t="s">
        <v>456</v>
      </c>
      <c r="D52" s="13" t="s">
        <v>463</v>
      </c>
      <c r="E52" s="18" t="s">
        <v>452</v>
      </c>
      <c r="F52" s="13" t="s">
        <v>457</v>
      </c>
      <c r="G52" s="14" t="s">
        <v>516</v>
      </c>
      <c r="H52" s="14" t="s">
        <v>519</v>
      </c>
      <c r="I52" s="194">
        <f t="shared" si="0"/>
        <v>0.8125</v>
      </c>
      <c r="J52" s="14" t="s">
        <v>533</v>
      </c>
    </row>
    <row r="53" spans="1:10" ht="16.5" customHeight="1">
      <c r="A53" s="10">
        <v>50</v>
      </c>
      <c r="B53" s="197">
        <v>46351</v>
      </c>
      <c r="C53" s="11" t="s">
        <v>456</v>
      </c>
      <c r="D53" s="10" t="s">
        <v>458</v>
      </c>
      <c r="E53" s="18" t="s">
        <v>452</v>
      </c>
      <c r="F53" s="10" t="s">
        <v>462</v>
      </c>
      <c r="G53" s="11" t="s">
        <v>469</v>
      </c>
      <c r="H53" s="11" t="s">
        <v>519</v>
      </c>
      <c r="I53" s="192">
        <f t="shared" si="0"/>
        <v>0.8125</v>
      </c>
      <c r="J53" s="11" t="s">
        <v>533</v>
      </c>
    </row>
    <row r="54" spans="1:10" ht="16.5" customHeight="1">
      <c r="A54" s="13">
        <v>51</v>
      </c>
      <c r="B54" s="198">
        <v>46351</v>
      </c>
      <c r="C54" s="14" t="s">
        <v>466</v>
      </c>
      <c r="D54" s="13" t="s">
        <v>472</v>
      </c>
      <c r="E54" s="18" t="s">
        <v>452</v>
      </c>
      <c r="F54" s="13" t="s">
        <v>467</v>
      </c>
      <c r="G54" s="14" t="s">
        <v>464</v>
      </c>
      <c r="H54" s="14" t="s">
        <v>530</v>
      </c>
      <c r="I54" s="194">
        <f t="shared" si="0"/>
        <v>0.72916666666666674</v>
      </c>
      <c r="J54" s="14" t="s">
        <v>533</v>
      </c>
    </row>
    <row r="55" spans="1:10" ht="16.5" customHeight="1">
      <c r="A55" s="10">
        <v>52</v>
      </c>
      <c r="B55" s="197">
        <v>46351</v>
      </c>
      <c r="C55" s="11" t="s">
        <v>466</v>
      </c>
      <c r="D55" s="10" t="s">
        <v>468</v>
      </c>
      <c r="E55" s="18" t="s">
        <v>452</v>
      </c>
      <c r="F55" s="10" t="s">
        <v>471</v>
      </c>
      <c r="G55" s="11" t="s">
        <v>459</v>
      </c>
      <c r="H55" s="11" t="s">
        <v>530</v>
      </c>
      <c r="I55" s="192">
        <f t="shared" si="0"/>
        <v>0.72916666666666674</v>
      </c>
      <c r="J55" s="11" t="s">
        <v>533</v>
      </c>
    </row>
    <row r="56" spans="1:10" ht="16.5" customHeight="1">
      <c r="A56" s="13">
        <v>53</v>
      </c>
      <c r="B56" s="198">
        <v>46351</v>
      </c>
      <c r="C56" s="14" t="s">
        <v>475</v>
      </c>
      <c r="D56" s="13" t="s">
        <v>481</v>
      </c>
      <c r="E56" s="18" t="s">
        <v>452</v>
      </c>
      <c r="F56" s="13" t="s">
        <v>476</v>
      </c>
      <c r="G56" s="14" t="s">
        <v>486</v>
      </c>
      <c r="H56" s="14" t="s">
        <v>460</v>
      </c>
      <c r="I56" s="194">
        <f t="shared" si="0"/>
        <v>0.85416666666666674</v>
      </c>
      <c r="J56" s="14" t="s">
        <v>533</v>
      </c>
    </row>
    <row r="57" spans="1:10" ht="16.5" customHeight="1">
      <c r="A57" s="10">
        <v>54</v>
      </c>
      <c r="B57" s="197">
        <v>46351</v>
      </c>
      <c r="C57" s="11" t="s">
        <v>475</v>
      </c>
      <c r="D57" s="10" t="s">
        <v>477</v>
      </c>
      <c r="E57" s="18" t="s">
        <v>452</v>
      </c>
      <c r="F57" s="10" t="s">
        <v>480</v>
      </c>
      <c r="G57" s="11" t="s">
        <v>510</v>
      </c>
      <c r="H57" s="11" t="s">
        <v>460</v>
      </c>
      <c r="I57" s="192">
        <f t="shared" si="0"/>
        <v>0.85416666666666674</v>
      </c>
      <c r="J57" s="11" t="s">
        <v>533</v>
      </c>
    </row>
    <row r="58" spans="1:10" ht="16.5" customHeight="1">
      <c r="A58" s="13">
        <v>55</v>
      </c>
      <c r="B58" s="198">
        <v>46351</v>
      </c>
      <c r="C58" s="14" t="s">
        <v>483</v>
      </c>
      <c r="D58" s="13" t="s">
        <v>488</v>
      </c>
      <c r="E58" s="18" t="s">
        <v>452</v>
      </c>
      <c r="F58" s="13" t="s">
        <v>484</v>
      </c>
      <c r="G58" s="14" t="s">
        <v>478</v>
      </c>
      <c r="H58" s="14" t="s">
        <v>470</v>
      </c>
      <c r="I58" s="194">
        <f t="shared" si="0"/>
        <v>0.77083333333333337</v>
      </c>
      <c r="J58" s="14" t="s">
        <v>533</v>
      </c>
    </row>
    <row r="59" spans="1:10" ht="16.5" customHeight="1">
      <c r="A59" s="10">
        <v>56</v>
      </c>
      <c r="B59" s="197">
        <v>46351</v>
      </c>
      <c r="C59" s="11" t="s">
        <v>483</v>
      </c>
      <c r="D59" s="10" t="s">
        <v>485</v>
      </c>
      <c r="E59" s="18" t="s">
        <v>452</v>
      </c>
      <c r="F59" s="10" t="s">
        <v>487</v>
      </c>
      <c r="G59" s="11" t="s">
        <v>473</v>
      </c>
      <c r="H59" s="11" t="s">
        <v>470</v>
      </c>
      <c r="I59" s="192">
        <f t="shared" si="0"/>
        <v>0.77083333333333337</v>
      </c>
      <c r="J59" s="11" t="s">
        <v>533</v>
      </c>
    </row>
    <row r="60" spans="1:10" ht="16.5" customHeight="1">
      <c r="A60" s="13">
        <v>57</v>
      </c>
      <c r="B60" s="198">
        <v>46352</v>
      </c>
      <c r="C60" s="14" t="s">
        <v>490</v>
      </c>
      <c r="D60" s="13" t="s">
        <v>494</v>
      </c>
      <c r="E60" s="18" t="s">
        <v>452</v>
      </c>
      <c r="F60" s="13" t="s">
        <v>491</v>
      </c>
      <c r="G60" s="14" t="s">
        <v>478</v>
      </c>
      <c r="H60" s="14" t="s">
        <v>465</v>
      </c>
      <c r="I60" s="194">
        <f t="shared" si="0"/>
        <v>0.79166666666666674</v>
      </c>
      <c r="J60" s="14" t="s">
        <v>533</v>
      </c>
    </row>
    <row r="61" spans="1:10" ht="16.5" customHeight="1">
      <c r="A61" s="10">
        <v>58</v>
      </c>
      <c r="B61" s="197">
        <v>46352</v>
      </c>
      <c r="C61" s="11" t="s">
        <v>490</v>
      </c>
      <c r="D61" s="10" t="s">
        <v>492</v>
      </c>
      <c r="E61" s="18" t="s">
        <v>452</v>
      </c>
      <c r="F61" s="10" t="s">
        <v>493</v>
      </c>
      <c r="G61" s="11" t="s">
        <v>464</v>
      </c>
      <c r="H61" s="11" t="s">
        <v>465</v>
      </c>
      <c r="I61" s="192">
        <f t="shared" si="0"/>
        <v>0.79166666666666674</v>
      </c>
      <c r="J61" s="11" t="s">
        <v>533</v>
      </c>
    </row>
    <row r="62" spans="1:10" ht="16.5" customHeight="1">
      <c r="A62" s="13">
        <v>59</v>
      </c>
      <c r="B62" s="198">
        <v>46352</v>
      </c>
      <c r="C62" s="14" t="s">
        <v>495</v>
      </c>
      <c r="D62" s="13" t="s">
        <v>499</v>
      </c>
      <c r="E62" s="18" t="s">
        <v>452</v>
      </c>
      <c r="F62" s="13" t="s">
        <v>496</v>
      </c>
      <c r="G62" s="14" t="s">
        <v>469</v>
      </c>
      <c r="H62" s="14" t="s">
        <v>479</v>
      </c>
      <c r="I62" s="194">
        <f t="shared" si="0"/>
        <v>0.875</v>
      </c>
      <c r="J62" s="14" t="s">
        <v>533</v>
      </c>
    </row>
    <row r="63" spans="1:10" ht="16.5" customHeight="1">
      <c r="A63" s="10">
        <v>60</v>
      </c>
      <c r="B63" s="197">
        <v>46352</v>
      </c>
      <c r="C63" s="11" t="s">
        <v>495</v>
      </c>
      <c r="D63" s="10" t="s">
        <v>497</v>
      </c>
      <c r="E63" s="18" t="s">
        <v>452</v>
      </c>
      <c r="F63" s="10" t="s">
        <v>498</v>
      </c>
      <c r="G63" s="11" t="s">
        <v>510</v>
      </c>
      <c r="H63" s="11" t="s">
        <v>479</v>
      </c>
      <c r="I63" s="192">
        <f t="shared" si="0"/>
        <v>0.875</v>
      </c>
      <c r="J63" s="11" t="s">
        <v>533</v>
      </c>
    </row>
    <row r="64" spans="1:10" ht="16.5" customHeight="1">
      <c r="A64" s="13">
        <v>61</v>
      </c>
      <c r="B64" s="198">
        <v>46352</v>
      </c>
      <c r="C64" s="14" t="s">
        <v>500</v>
      </c>
      <c r="D64" s="13" t="s">
        <v>504</v>
      </c>
      <c r="E64" s="18" t="s">
        <v>452</v>
      </c>
      <c r="F64" s="13" t="s">
        <v>501</v>
      </c>
      <c r="G64" s="14" t="s">
        <v>459</v>
      </c>
      <c r="H64" s="14" t="s">
        <v>474</v>
      </c>
      <c r="I64" s="194">
        <f t="shared" si="0"/>
        <v>0.75</v>
      </c>
      <c r="J64" s="14" t="s">
        <v>533</v>
      </c>
    </row>
    <row r="65" spans="1:10" ht="16.5" customHeight="1">
      <c r="A65" s="10">
        <v>62</v>
      </c>
      <c r="B65" s="197">
        <v>46352</v>
      </c>
      <c r="C65" s="11" t="s">
        <v>500</v>
      </c>
      <c r="D65" s="10" t="s">
        <v>502</v>
      </c>
      <c r="E65" s="18" t="s">
        <v>452</v>
      </c>
      <c r="F65" s="10" t="s">
        <v>503</v>
      </c>
      <c r="G65" s="11" t="s">
        <v>516</v>
      </c>
      <c r="H65" s="11" t="s">
        <v>474</v>
      </c>
      <c r="I65" s="192">
        <f t="shared" si="0"/>
        <v>0.75</v>
      </c>
      <c r="J65" s="11" t="s">
        <v>533</v>
      </c>
    </row>
    <row r="66" spans="1:10" ht="16.5" customHeight="1">
      <c r="A66" s="13">
        <v>63</v>
      </c>
      <c r="B66" s="198">
        <v>46352</v>
      </c>
      <c r="C66" s="14" t="s">
        <v>505</v>
      </c>
      <c r="D66" s="13" t="s">
        <v>509</v>
      </c>
      <c r="E66" s="18" t="s">
        <v>452</v>
      </c>
      <c r="F66" s="13" t="s">
        <v>506</v>
      </c>
      <c r="G66" s="14" t="s">
        <v>473</v>
      </c>
      <c r="H66" s="14" t="s">
        <v>482</v>
      </c>
      <c r="I66" s="194">
        <f t="shared" si="0"/>
        <v>0.83333333333333337</v>
      </c>
      <c r="J66" s="14" t="s">
        <v>533</v>
      </c>
    </row>
    <row r="67" spans="1:10" ht="16.5" customHeight="1">
      <c r="A67" s="10">
        <v>64</v>
      </c>
      <c r="B67" s="197">
        <v>46352</v>
      </c>
      <c r="C67" s="11" t="s">
        <v>505</v>
      </c>
      <c r="D67" s="10" t="s">
        <v>507</v>
      </c>
      <c r="E67" s="18" t="s">
        <v>452</v>
      </c>
      <c r="F67" s="10" t="s">
        <v>508</v>
      </c>
      <c r="G67" s="11" t="s">
        <v>486</v>
      </c>
      <c r="H67" s="11" t="s">
        <v>482</v>
      </c>
      <c r="I67" s="192">
        <f t="shared" si="0"/>
        <v>0.83333333333333337</v>
      </c>
      <c r="J67" s="11" t="s">
        <v>533</v>
      </c>
    </row>
    <row r="68" spans="1:10" ht="16.5" customHeight="1">
      <c r="A68" s="13">
        <v>65</v>
      </c>
      <c r="B68" s="198">
        <v>46353</v>
      </c>
      <c r="C68" s="14" t="s">
        <v>511</v>
      </c>
      <c r="D68" s="13" t="s">
        <v>515</v>
      </c>
      <c r="E68" s="18" t="s">
        <v>452</v>
      </c>
      <c r="F68" s="13" t="s">
        <v>512</v>
      </c>
      <c r="G68" s="14" t="s">
        <v>478</v>
      </c>
      <c r="H68" s="14" t="s">
        <v>465</v>
      </c>
      <c r="I68" s="194">
        <f t="shared" si="0"/>
        <v>0.79166666666666674</v>
      </c>
      <c r="J68" s="14" t="s">
        <v>533</v>
      </c>
    </row>
    <row r="69" spans="1:10" ht="16.5" customHeight="1">
      <c r="A69" s="10">
        <v>66</v>
      </c>
      <c r="B69" s="197">
        <v>46353</v>
      </c>
      <c r="C69" s="11" t="s">
        <v>511</v>
      </c>
      <c r="D69" s="10" t="s">
        <v>513</v>
      </c>
      <c r="E69" s="18" t="s">
        <v>452</v>
      </c>
      <c r="F69" s="10" t="s">
        <v>514</v>
      </c>
      <c r="G69" s="11" t="s">
        <v>464</v>
      </c>
      <c r="H69" s="11" t="s">
        <v>465</v>
      </c>
      <c r="I69" s="192">
        <f t="shared" ref="I69:I75" si="1">H69+TIME(2,0,0)</f>
        <v>0.79166666666666674</v>
      </c>
      <c r="J69" s="11" t="s">
        <v>533</v>
      </c>
    </row>
    <row r="70" spans="1:10" ht="16.5" customHeight="1">
      <c r="A70" s="13">
        <v>67</v>
      </c>
      <c r="B70" s="198">
        <v>46353</v>
      </c>
      <c r="C70" s="14" t="s">
        <v>517</v>
      </c>
      <c r="D70" s="13" t="s">
        <v>521</v>
      </c>
      <c r="E70" s="18" t="s">
        <v>452</v>
      </c>
      <c r="F70" s="13" t="s">
        <v>438</v>
      </c>
      <c r="G70" s="14" t="s">
        <v>459</v>
      </c>
      <c r="H70" s="14" t="s">
        <v>482</v>
      </c>
      <c r="I70" s="194">
        <f t="shared" si="1"/>
        <v>0.83333333333333337</v>
      </c>
      <c r="J70" s="14" t="s">
        <v>533</v>
      </c>
    </row>
    <row r="71" spans="1:10" ht="16.5" customHeight="1">
      <c r="A71" s="10">
        <v>68</v>
      </c>
      <c r="B71" s="197">
        <v>46353</v>
      </c>
      <c r="C71" s="11" t="s">
        <v>517</v>
      </c>
      <c r="D71" s="10" t="s">
        <v>518</v>
      </c>
      <c r="E71" s="18" t="s">
        <v>452</v>
      </c>
      <c r="F71" s="10" t="s">
        <v>520</v>
      </c>
      <c r="G71" s="11" t="s">
        <v>510</v>
      </c>
      <c r="H71" s="11" t="s">
        <v>482</v>
      </c>
      <c r="I71" s="192">
        <f t="shared" si="1"/>
        <v>0.83333333333333337</v>
      </c>
      <c r="J71" s="11" t="s">
        <v>533</v>
      </c>
    </row>
    <row r="72" spans="1:10" ht="16.5" customHeight="1">
      <c r="A72" s="13">
        <v>69</v>
      </c>
      <c r="B72" s="198">
        <v>46353</v>
      </c>
      <c r="C72" s="14" t="s">
        <v>522</v>
      </c>
      <c r="D72" s="13" t="s">
        <v>526</v>
      </c>
      <c r="E72" s="18" t="s">
        <v>452</v>
      </c>
      <c r="F72" s="13" t="s">
        <v>523</v>
      </c>
      <c r="G72" s="14" t="s">
        <v>469</v>
      </c>
      <c r="H72" s="14" t="s">
        <v>479</v>
      </c>
      <c r="I72" s="194">
        <f t="shared" si="1"/>
        <v>0.875</v>
      </c>
      <c r="J72" s="14" t="s">
        <v>533</v>
      </c>
    </row>
    <row r="73" spans="1:10" ht="16.5" customHeight="1">
      <c r="A73" s="10">
        <v>70</v>
      </c>
      <c r="B73" s="197">
        <v>46353</v>
      </c>
      <c r="C73" s="11" t="s">
        <v>522</v>
      </c>
      <c r="D73" s="10" t="s">
        <v>524</v>
      </c>
      <c r="E73" s="18" t="s">
        <v>452</v>
      </c>
      <c r="F73" s="10" t="s">
        <v>525</v>
      </c>
      <c r="G73" s="11" t="s">
        <v>486</v>
      </c>
      <c r="H73" s="11" t="s">
        <v>479</v>
      </c>
      <c r="I73" s="192">
        <f t="shared" si="1"/>
        <v>0.875</v>
      </c>
      <c r="J73" s="11" t="s">
        <v>533</v>
      </c>
    </row>
    <row r="74" spans="1:10" ht="16.5" customHeight="1">
      <c r="A74" s="13">
        <v>71</v>
      </c>
      <c r="B74" s="198">
        <v>46353</v>
      </c>
      <c r="C74" s="14" t="s">
        <v>527</v>
      </c>
      <c r="D74" s="13" t="s">
        <v>532</v>
      </c>
      <c r="E74" s="18" t="s">
        <v>452</v>
      </c>
      <c r="F74" s="13" t="s">
        <v>528</v>
      </c>
      <c r="G74" s="14" t="s">
        <v>473</v>
      </c>
      <c r="H74" s="14" t="s">
        <v>474</v>
      </c>
      <c r="I74" s="194">
        <f t="shared" si="1"/>
        <v>0.75</v>
      </c>
      <c r="J74" s="14" t="s">
        <v>533</v>
      </c>
    </row>
    <row r="75" spans="1:10" ht="16.5" customHeight="1">
      <c r="A75" s="10">
        <v>72</v>
      </c>
      <c r="B75" s="197">
        <v>46353</v>
      </c>
      <c r="C75" s="11" t="s">
        <v>527</v>
      </c>
      <c r="D75" s="10" t="s">
        <v>529</v>
      </c>
      <c r="E75" s="18" t="s">
        <v>452</v>
      </c>
      <c r="F75" s="10" t="s">
        <v>531</v>
      </c>
      <c r="G75" s="11" t="s">
        <v>516</v>
      </c>
      <c r="H75" s="11" t="s">
        <v>474</v>
      </c>
      <c r="I75" s="192">
        <f t="shared" si="1"/>
        <v>0.75</v>
      </c>
      <c r="J75" s="11" t="s">
        <v>533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&amp;L&amp;"Aptos"&amp;12&amp;K800080 SC Classification:PUBLIC&amp;1#_x000D_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4F8A"/>
  </sheetPr>
  <dimension ref="A1:G14"/>
  <sheetViews>
    <sheetView showGridLines="0" zoomScaleNormal="100" workbookViewId="0">
      <pane ySplit="3" topLeftCell="A4" activePane="bottomLeft" state="frozen"/>
      <selection pane="bottomLeft" activeCell="C25" sqref="C25"/>
    </sheetView>
  </sheetViews>
  <sheetFormatPr defaultColWidth="8.5703125" defaultRowHeight="14.45"/>
  <cols>
    <col min="1" max="1" width="42" customWidth="1"/>
    <col min="2" max="2" width="10" hidden="1" customWidth="1"/>
    <col min="3" max="3" width="65" customWidth="1"/>
    <col min="4" max="4" width="8" customWidth="1"/>
    <col min="5" max="5" width="28" customWidth="1"/>
    <col min="6" max="7" width="12" customWidth="1"/>
  </cols>
  <sheetData>
    <row r="1" spans="1:7" ht="24" customHeight="1">
      <c r="A1" s="274" t="s">
        <v>534</v>
      </c>
      <c r="B1" s="274"/>
      <c r="C1" s="274"/>
      <c r="D1" s="274"/>
      <c r="E1" s="274"/>
      <c r="F1" s="274"/>
      <c r="G1" s="274"/>
    </row>
    <row r="2" spans="1:7" ht="13.5" customHeight="1">
      <c r="A2" s="275" t="s">
        <v>535</v>
      </c>
      <c r="B2" s="275"/>
      <c r="C2" s="275"/>
      <c r="D2" s="275"/>
      <c r="E2" s="275"/>
      <c r="F2" s="275"/>
      <c r="G2" s="275"/>
    </row>
    <row r="3" spans="1:7" ht="27.75" customHeight="1">
      <c r="A3" s="52" t="s">
        <v>536</v>
      </c>
      <c r="B3" s="52" t="s">
        <v>537</v>
      </c>
      <c r="C3" s="52" t="s">
        <v>538</v>
      </c>
      <c r="D3" s="52" t="s">
        <v>539</v>
      </c>
      <c r="E3" s="52" t="s">
        <v>540</v>
      </c>
      <c r="F3" s="52" t="s">
        <v>541</v>
      </c>
      <c r="G3" s="52" t="s">
        <v>542</v>
      </c>
    </row>
    <row r="4" spans="1:7" ht="24" customHeight="1">
      <c r="A4" s="19" t="s">
        <v>237</v>
      </c>
      <c r="B4" s="53" t="s">
        <v>543</v>
      </c>
      <c r="C4" s="21" t="s">
        <v>544</v>
      </c>
      <c r="D4" s="22">
        <v>3</v>
      </c>
      <c r="E4" s="21" t="s">
        <v>545</v>
      </c>
      <c r="F4" s="23">
        <v>3</v>
      </c>
      <c r="G4" s="24">
        <v>9</v>
      </c>
    </row>
    <row r="5" spans="1:7" ht="24" customHeight="1">
      <c r="A5" s="25" t="s">
        <v>25</v>
      </c>
      <c r="B5" s="53" t="s">
        <v>546</v>
      </c>
      <c r="C5" s="12" t="s">
        <v>547</v>
      </c>
      <c r="D5" s="26">
        <v>3</v>
      </c>
      <c r="E5" s="12" t="s">
        <v>548</v>
      </c>
      <c r="F5" s="23">
        <v>3</v>
      </c>
      <c r="G5" s="27">
        <v>13</v>
      </c>
    </row>
    <row r="6" spans="1:7" ht="24" customHeight="1">
      <c r="A6" s="19" t="s">
        <v>32</v>
      </c>
      <c r="B6" s="53" t="s">
        <v>549</v>
      </c>
      <c r="C6" s="21" t="s">
        <v>550</v>
      </c>
      <c r="D6" s="22">
        <v>5</v>
      </c>
      <c r="E6" s="21" t="s">
        <v>548</v>
      </c>
      <c r="F6" s="28">
        <v>4</v>
      </c>
      <c r="G6" s="24">
        <v>18</v>
      </c>
    </row>
    <row r="7" spans="1:7" ht="24" customHeight="1">
      <c r="A7" s="25" t="s">
        <v>39</v>
      </c>
      <c r="B7" s="53" t="s">
        <v>551</v>
      </c>
      <c r="C7" s="12" t="s">
        <v>552</v>
      </c>
      <c r="D7" s="26">
        <v>3</v>
      </c>
      <c r="E7" s="12" t="s">
        <v>548</v>
      </c>
      <c r="F7" s="23">
        <v>3</v>
      </c>
      <c r="G7" s="27">
        <v>13</v>
      </c>
    </row>
    <row r="8" spans="1:7" ht="24" customHeight="1">
      <c r="A8" s="19" t="s">
        <v>46</v>
      </c>
      <c r="B8" s="53" t="s">
        <v>553</v>
      </c>
      <c r="C8" s="21" t="s">
        <v>554</v>
      </c>
      <c r="D8" s="22">
        <v>4</v>
      </c>
      <c r="E8" s="21" t="s">
        <v>548</v>
      </c>
      <c r="F8" s="23">
        <v>3</v>
      </c>
      <c r="G8" s="24">
        <v>14</v>
      </c>
    </row>
    <row r="9" spans="1:7" ht="24" customHeight="1">
      <c r="A9" s="25" t="s">
        <v>53</v>
      </c>
      <c r="B9" s="53" t="s">
        <v>555</v>
      </c>
      <c r="C9" s="12" t="s">
        <v>556</v>
      </c>
      <c r="D9" s="26">
        <v>3</v>
      </c>
      <c r="E9" s="12" t="s">
        <v>548</v>
      </c>
      <c r="F9" s="29">
        <v>2</v>
      </c>
      <c r="G9" s="27">
        <v>12</v>
      </c>
    </row>
    <row r="10" spans="1:7" ht="24" customHeight="1">
      <c r="A10" s="19" t="s">
        <v>60</v>
      </c>
      <c r="B10" s="53" t="s">
        <v>557</v>
      </c>
      <c r="C10" s="21" t="s">
        <v>558</v>
      </c>
      <c r="D10" s="22">
        <v>11</v>
      </c>
      <c r="E10" s="21" t="s">
        <v>559</v>
      </c>
      <c r="F10" s="28">
        <v>4</v>
      </c>
      <c r="G10" s="24">
        <v>32</v>
      </c>
    </row>
    <row r="11" spans="1:7" ht="24" customHeight="1">
      <c r="A11" s="25" t="s">
        <v>70</v>
      </c>
      <c r="B11" s="53" t="s">
        <v>560</v>
      </c>
      <c r="C11" s="12" t="s">
        <v>561</v>
      </c>
      <c r="D11" s="26">
        <v>3</v>
      </c>
      <c r="E11" s="12" t="s">
        <v>562</v>
      </c>
      <c r="F11" s="23">
        <v>3</v>
      </c>
      <c r="G11" s="27">
        <v>9</v>
      </c>
    </row>
    <row r="12" spans="1:7" ht="24" customHeight="1">
      <c r="A12" s="19" t="s">
        <v>74</v>
      </c>
      <c r="B12" s="53" t="s">
        <v>563</v>
      </c>
      <c r="C12" s="21" t="s">
        <v>564</v>
      </c>
      <c r="D12" s="22">
        <v>10</v>
      </c>
      <c r="E12" s="21" t="s">
        <v>559</v>
      </c>
      <c r="F12" s="28">
        <v>4</v>
      </c>
      <c r="G12" s="24">
        <v>28</v>
      </c>
    </row>
    <row r="13" spans="1:7" ht="24" customHeight="1">
      <c r="A13" s="25" t="s">
        <v>84</v>
      </c>
      <c r="B13" s="53" t="s">
        <v>565</v>
      </c>
      <c r="C13" s="12" t="s">
        <v>566</v>
      </c>
      <c r="D13" s="26">
        <v>3</v>
      </c>
      <c r="E13" s="12" t="s">
        <v>562</v>
      </c>
      <c r="F13" s="23">
        <v>3</v>
      </c>
      <c r="G13" s="27">
        <v>9</v>
      </c>
    </row>
    <row r="14" spans="1:7" ht="36" customHeight="1">
      <c r="A14" s="81" t="s">
        <v>567</v>
      </c>
      <c r="B14" s="82"/>
      <c r="C14" s="83" t="s">
        <v>568</v>
      </c>
      <c r="D14" s="54">
        <v>48</v>
      </c>
      <c r="E14" s="30"/>
      <c r="F14" s="30"/>
      <c r="G14" s="54">
        <v>57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&amp;L&amp;"Aptos"&amp;12&amp;K800080 SC Classification:PUBLIC&amp;1#_x000D_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A84B"/>
  </sheetPr>
  <dimension ref="A1:I23"/>
  <sheetViews>
    <sheetView showGridLines="0" zoomScaleNormal="100" workbookViewId="0">
      <selection activeCell="F26" sqref="F26"/>
    </sheetView>
  </sheetViews>
  <sheetFormatPr defaultColWidth="8.5703125" defaultRowHeight="14.45"/>
  <cols>
    <col min="1" max="1" width="10" customWidth="1"/>
    <col min="2" max="2" width="32" customWidth="1"/>
    <col min="3" max="3" width="16" customWidth="1"/>
    <col min="4" max="4" width="12" customWidth="1"/>
    <col min="5" max="5" width="16" customWidth="1"/>
    <col min="6" max="6" width="14" customWidth="1"/>
    <col min="7" max="7" width="16" customWidth="1"/>
    <col min="8" max="8" width="18" customWidth="1"/>
    <col min="9" max="9" width="61.85546875" customWidth="1"/>
  </cols>
  <sheetData>
    <row r="1" spans="1:9" ht="24" customHeight="1">
      <c r="A1" s="274" t="s">
        <v>569</v>
      </c>
      <c r="B1" s="274"/>
      <c r="C1" s="274"/>
      <c r="D1" s="274"/>
      <c r="E1" s="274"/>
      <c r="F1" s="274"/>
      <c r="G1" s="274"/>
      <c r="H1" s="274"/>
      <c r="I1" s="274"/>
    </row>
    <row r="2" spans="1:9" ht="7.5" customHeight="1"/>
    <row r="3" spans="1:9" ht="19.5" customHeight="1">
      <c r="A3" s="278" t="s">
        <v>570</v>
      </c>
      <c r="B3" s="278"/>
      <c r="C3" s="278"/>
      <c r="D3" s="278"/>
      <c r="E3" s="278"/>
      <c r="F3" s="278"/>
      <c r="G3" s="278"/>
      <c r="H3" s="278"/>
      <c r="I3" s="278"/>
    </row>
    <row r="4" spans="1:9" ht="25.5" customHeight="1">
      <c r="A4" s="51" t="s">
        <v>537</v>
      </c>
      <c r="B4" s="51" t="s">
        <v>224</v>
      </c>
      <c r="C4" s="51" t="s">
        <v>571</v>
      </c>
      <c r="D4" s="51" t="s">
        <v>542</v>
      </c>
      <c r="E4" s="51" t="s">
        <v>572</v>
      </c>
      <c r="F4" s="51" t="s">
        <v>573</v>
      </c>
      <c r="G4" s="51" t="s">
        <v>574</v>
      </c>
      <c r="H4" s="51" t="s">
        <v>575</v>
      </c>
      <c r="I4" s="51" t="s">
        <v>576</v>
      </c>
    </row>
    <row r="5" spans="1:9" ht="46.5" customHeight="1">
      <c r="A5" s="50" t="s">
        <v>577</v>
      </c>
      <c r="B5" s="11" t="s">
        <v>578</v>
      </c>
      <c r="C5" s="11">
        <v>3</v>
      </c>
      <c r="D5" s="11">
        <v>3</v>
      </c>
      <c r="E5" s="11">
        <v>9</v>
      </c>
      <c r="F5" s="11">
        <v>3</v>
      </c>
      <c r="G5" s="11" t="s">
        <v>579</v>
      </c>
      <c r="H5" s="31" t="s">
        <v>580</v>
      </c>
      <c r="I5" s="32" t="s">
        <v>581</v>
      </c>
    </row>
    <row r="6" spans="1:9" ht="45" customHeight="1">
      <c r="A6" s="50" t="s">
        <v>582</v>
      </c>
      <c r="B6" s="20" t="s">
        <v>583</v>
      </c>
      <c r="C6" s="20">
        <v>6</v>
      </c>
      <c r="D6" s="20">
        <v>5</v>
      </c>
      <c r="E6" s="20">
        <v>11</v>
      </c>
      <c r="F6" s="20">
        <v>2.2000000000000002</v>
      </c>
      <c r="G6" s="20" t="s">
        <v>579</v>
      </c>
      <c r="H6" s="33" t="s">
        <v>584</v>
      </c>
      <c r="I6" s="34" t="s">
        <v>585</v>
      </c>
    </row>
    <row r="7" spans="1:9" ht="47.25" customHeight="1">
      <c r="A7" s="50" t="s">
        <v>586</v>
      </c>
      <c r="B7" s="11" t="s">
        <v>587</v>
      </c>
      <c r="C7" s="11">
        <v>6</v>
      </c>
      <c r="D7" s="11">
        <v>5</v>
      </c>
      <c r="E7" s="11">
        <v>15</v>
      </c>
      <c r="F7" s="11">
        <v>3</v>
      </c>
      <c r="G7" s="11" t="s">
        <v>588</v>
      </c>
      <c r="H7" s="35" t="s">
        <v>589</v>
      </c>
      <c r="I7" s="32" t="s">
        <v>590</v>
      </c>
    </row>
    <row r="8" spans="1:9" ht="43.5" customHeight="1">
      <c r="A8" s="50" t="s">
        <v>591</v>
      </c>
      <c r="B8" s="20" t="s">
        <v>592</v>
      </c>
      <c r="C8" s="20">
        <v>6</v>
      </c>
      <c r="D8" s="20">
        <v>5</v>
      </c>
      <c r="E8" s="20">
        <v>11</v>
      </c>
      <c r="F8" s="20">
        <v>2.2000000000000002</v>
      </c>
      <c r="G8" s="20" t="s">
        <v>579</v>
      </c>
      <c r="H8" s="33" t="s">
        <v>584</v>
      </c>
      <c r="I8" s="34" t="s">
        <v>593</v>
      </c>
    </row>
    <row r="9" spans="1:9" ht="45" customHeight="1">
      <c r="A9" s="50" t="s">
        <v>594</v>
      </c>
      <c r="B9" s="11" t="s">
        <v>595</v>
      </c>
      <c r="C9" s="11">
        <v>6</v>
      </c>
      <c r="D9" s="11">
        <v>5</v>
      </c>
      <c r="E9" s="11">
        <v>12</v>
      </c>
      <c r="F9" s="11">
        <v>2.4</v>
      </c>
      <c r="G9" s="11" t="s">
        <v>579</v>
      </c>
      <c r="H9" s="33" t="s">
        <v>584</v>
      </c>
      <c r="I9" s="32" t="s">
        <v>596</v>
      </c>
    </row>
    <row r="10" spans="1:9" ht="51" customHeight="1">
      <c r="A10" s="50" t="s">
        <v>597</v>
      </c>
      <c r="B10" s="20" t="s">
        <v>598</v>
      </c>
      <c r="C10" s="20">
        <v>6</v>
      </c>
      <c r="D10" s="20">
        <v>5</v>
      </c>
      <c r="E10" s="20">
        <v>10</v>
      </c>
      <c r="F10" s="20">
        <v>2</v>
      </c>
      <c r="G10" s="20" t="s">
        <v>599</v>
      </c>
      <c r="H10" s="31" t="s">
        <v>580</v>
      </c>
      <c r="I10" s="34" t="s">
        <v>600</v>
      </c>
    </row>
    <row r="11" spans="1:9" ht="49.5" customHeight="1">
      <c r="A11" s="50" t="s">
        <v>601</v>
      </c>
      <c r="B11" s="11" t="s">
        <v>602</v>
      </c>
      <c r="C11" s="11">
        <v>9</v>
      </c>
      <c r="D11" s="11">
        <v>8</v>
      </c>
      <c r="E11" s="11">
        <v>28</v>
      </c>
      <c r="F11" s="11">
        <v>3.5</v>
      </c>
      <c r="G11" s="11" t="s">
        <v>588</v>
      </c>
      <c r="H11" s="36" t="s">
        <v>603</v>
      </c>
      <c r="I11" s="32" t="s">
        <v>604</v>
      </c>
    </row>
    <row r="12" spans="1:9" ht="43.5" customHeight="1">
      <c r="A12" s="50" t="s">
        <v>605</v>
      </c>
      <c r="B12" s="20" t="s">
        <v>606</v>
      </c>
      <c r="C12" s="20">
        <v>3</v>
      </c>
      <c r="D12" s="20">
        <v>3</v>
      </c>
      <c r="E12" s="20">
        <v>9</v>
      </c>
      <c r="F12" s="20">
        <v>3</v>
      </c>
      <c r="G12" s="20" t="s">
        <v>579</v>
      </c>
      <c r="H12" s="31" t="s">
        <v>580</v>
      </c>
      <c r="I12" s="34" t="s">
        <v>607</v>
      </c>
    </row>
    <row r="13" spans="1:9" ht="31.5" customHeight="1">
      <c r="A13" s="50" t="s">
        <v>608</v>
      </c>
      <c r="B13" s="11" t="s">
        <v>609</v>
      </c>
      <c r="C13" s="11">
        <v>9</v>
      </c>
      <c r="D13" s="11">
        <v>8</v>
      </c>
      <c r="E13" s="11">
        <v>26</v>
      </c>
      <c r="F13" s="11">
        <v>3.25</v>
      </c>
      <c r="G13" s="11" t="s">
        <v>588</v>
      </c>
      <c r="H13" s="36" t="s">
        <v>603</v>
      </c>
      <c r="I13" s="32" t="s">
        <v>610</v>
      </c>
    </row>
    <row r="14" spans="1:9" ht="31.5" customHeight="1">
      <c r="A14" s="50" t="s">
        <v>611</v>
      </c>
      <c r="B14" s="20" t="s">
        <v>612</v>
      </c>
      <c r="C14" s="20">
        <v>3</v>
      </c>
      <c r="D14" s="20">
        <v>3</v>
      </c>
      <c r="E14" s="20">
        <v>9</v>
      </c>
      <c r="F14" s="20">
        <v>3</v>
      </c>
      <c r="G14" s="20" t="s">
        <v>579</v>
      </c>
      <c r="H14" s="31" t="s">
        <v>580</v>
      </c>
      <c r="I14" s="34" t="s">
        <v>613</v>
      </c>
    </row>
    <row r="16" spans="1:9" ht="7.5" customHeight="1"/>
    <row r="17" spans="1:9" ht="19.5" customHeight="1">
      <c r="A17" s="278" t="s">
        <v>614</v>
      </c>
      <c r="B17" s="278"/>
      <c r="C17" s="278"/>
      <c r="D17" s="278"/>
      <c r="E17" s="278"/>
      <c r="F17" s="278"/>
      <c r="G17" s="278"/>
      <c r="H17" s="278"/>
      <c r="I17" s="278"/>
    </row>
    <row r="18" spans="1:9" ht="30" customHeight="1">
      <c r="A18" s="37" t="s">
        <v>615</v>
      </c>
      <c r="B18" s="276" t="s">
        <v>616</v>
      </c>
      <c r="C18" s="276"/>
      <c r="D18" s="276"/>
      <c r="E18" s="276"/>
      <c r="F18" s="276"/>
      <c r="G18" s="276"/>
      <c r="H18" s="276"/>
      <c r="I18" s="276"/>
    </row>
    <row r="19" spans="1:9" ht="30" customHeight="1">
      <c r="A19" s="38" t="s">
        <v>617</v>
      </c>
      <c r="B19" s="277" t="s">
        <v>618</v>
      </c>
      <c r="C19" s="277"/>
      <c r="D19" s="277"/>
      <c r="E19" s="277"/>
      <c r="F19" s="277"/>
      <c r="G19" s="277"/>
      <c r="H19" s="277"/>
      <c r="I19" s="277"/>
    </row>
    <row r="20" spans="1:9" ht="30" customHeight="1">
      <c r="A20" s="37" t="s">
        <v>619</v>
      </c>
      <c r="B20" s="276" t="s">
        <v>620</v>
      </c>
      <c r="C20" s="276"/>
      <c r="D20" s="276"/>
      <c r="E20" s="276"/>
      <c r="F20" s="276"/>
      <c r="G20" s="276"/>
      <c r="H20" s="276"/>
      <c r="I20" s="276"/>
    </row>
    <row r="21" spans="1:9" ht="30" customHeight="1">
      <c r="A21" s="38" t="s">
        <v>621</v>
      </c>
      <c r="B21" s="277" t="s">
        <v>622</v>
      </c>
      <c r="C21" s="277"/>
      <c r="D21" s="277"/>
      <c r="E21" s="277"/>
      <c r="F21" s="277"/>
      <c r="G21" s="277"/>
      <c r="H21" s="277"/>
      <c r="I21" s="277"/>
    </row>
    <row r="22" spans="1:9" ht="30" customHeight="1">
      <c r="A22" s="37" t="s">
        <v>623</v>
      </c>
      <c r="B22" s="276" t="s">
        <v>624</v>
      </c>
      <c r="C22" s="276"/>
      <c r="D22" s="276"/>
      <c r="E22" s="276"/>
      <c r="F22" s="276"/>
      <c r="G22" s="276"/>
      <c r="H22" s="276"/>
      <c r="I22" s="276"/>
    </row>
    <row r="23" spans="1:9" ht="30" customHeight="1">
      <c r="A23" s="38" t="s">
        <v>625</v>
      </c>
      <c r="B23" s="277" t="s">
        <v>626</v>
      </c>
      <c r="C23" s="277"/>
      <c r="D23" s="277"/>
      <c r="E23" s="277"/>
      <c r="F23" s="277"/>
      <c r="G23" s="277"/>
      <c r="H23" s="277"/>
      <c r="I23" s="277"/>
    </row>
  </sheetData>
  <mergeCells count="9">
    <mergeCell ref="B20:I20"/>
    <mergeCell ref="B21:I21"/>
    <mergeCell ref="B22:I22"/>
    <mergeCell ref="B23:I23"/>
    <mergeCell ref="A1:I1"/>
    <mergeCell ref="A3:I3"/>
    <mergeCell ref="A17:I17"/>
    <mergeCell ref="B18:I18"/>
    <mergeCell ref="B19:I19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&amp;L&amp;"Aptos"&amp;12&amp;K800080 SC Classification:PUBLIC&amp;1#_x000D_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4F8A"/>
  </sheetPr>
  <dimension ref="A1:M60"/>
  <sheetViews>
    <sheetView showGridLines="0" zoomScaleNormal="100" workbookViewId="0">
      <pane ySplit="3" topLeftCell="A4" activePane="bottomLeft" state="frozen"/>
      <selection pane="bottomLeft" activeCell="F23" sqref="F23"/>
    </sheetView>
  </sheetViews>
  <sheetFormatPr defaultColWidth="8.5703125" defaultRowHeight="14.45"/>
  <cols>
    <col min="1" max="1" width="10" customWidth="1"/>
    <col min="2" max="2" width="32" customWidth="1"/>
    <col min="3" max="5" width="10" customWidth="1"/>
    <col min="6" max="6" width="45" customWidth="1"/>
    <col min="7" max="7" width="8" customWidth="1"/>
    <col min="8" max="11" width="10" customWidth="1"/>
    <col min="12" max="12" width="20" customWidth="1"/>
    <col min="13" max="13" width="40" customWidth="1"/>
  </cols>
  <sheetData>
    <row r="1" spans="1:13" ht="24" customHeight="1">
      <c r="A1" s="272" t="s">
        <v>627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</row>
    <row r="2" spans="1:13" ht="13.5" customHeight="1">
      <c r="A2" s="273" t="s">
        <v>628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</row>
    <row r="3" spans="1:13" ht="27.75" customHeight="1">
      <c r="A3" s="4" t="s">
        <v>629</v>
      </c>
      <c r="B3" s="4" t="s">
        <v>16</v>
      </c>
      <c r="C3" s="4" t="s">
        <v>225</v>
      </c>
      <c r="D3" s="4" t="s">
        <v>630</v>
      </c>
      <c r="E3" s="4" t="s">
        <v>226</v>
      </c>
      <c r="F3" s="4" t="s">
        <v>631</v>
      </c>
      <c r="G3" s="4" t="s">
        <v>539</v>
      </c>
      <c r="H3" s="4" t="s">
        <v>537</v>
      </c>
      <c r="I3" s="4" t="s">
        <v>632</v>
      </c>
      <c r="J3" s="4" t="s">
        <v>633</v>
      </c>
      <c r="K3" s="4" t="s">
        <v>634</v>
      </c>
      <c r="L3" s="4" t="s">
        <v>635</v>
      </c>
      <c r="M3" s="4" t="s">
        <v>636</v>
      </c>
    </row>
    <row r="4" spans="1:13" ht="19.5" customHeight="1">
      <c r="A4" s="5" t="s">
        <v>637</v>
      </c>
      <c r="B4" s="6" t="s">
        <v>237</v>
      </c>
      <c r="C4" s="6" t="s">
        <v>638</v>
      </c>
      <c r="D4" s="6" t="s">
        <v>639</v>
      </c>
      <c r="E4" s="7" t="s">
        <v>238</v>
      </c>
      <c r="F4" s="8" t="s">
        <v>640</v>
      </c>
      <c r="G4" s="6">
        <v>3</v>
      </c>
      <c r="H4" s="9" t="s">
        <v>577</v>
      </c>
      <c r="I4" s="1">
        <v>3</v>
      </c>
      <c r="J4" s="6" t="s">
        <v>641</v>
      </c>
      <c r="K4" s="6" t="s">
        <v>642</v>
      </c>
      <c r="L4" s="6" t="s">
        <v>643</v>
      </c>
      <c r="M4" s="8" t="s">
        <v>644</v>
      </c>
    </row>
    <row r="5" spans="1:13" ht="19.5" customHeight="1">
      <c r="A5" s="10" t="s">
        <v>645</v>
      </c>
      <c r="B5" s="11" t="s">
        <v>237</v>
      </c>
      <c r="C5" s="11" t="s">
        <v>646</v>
      </c>
      <c r="D5" s="11" t="s">
        <v>647</v>
      </c>
      <c r="E5" s="7" t="s">
        <v>238</v>
      </c>
      <c r="F5" s="12" t="s">
        <v>648</v>
      </c>
      <c r="G5" s="11">
        <v>3</v>
      </c>
      <c r="H5" s="9" t="s">
        <v>577</v>
      </c>
      <c r="I5" s="1">
        <v>3</v>
      </c>
      <c r="J5" s="11" t="s">
        <v>649</v>
      </c>
      <c r="K5" s="11" t="s">
        <v>642</v>
      </c>
      <c r="L5" s="11" t="s">
        <v>650</v>
      </c>
      <c r="M5" s="12" t="s">
        <v>644</v>
      </c>
    </row>
    <row r="6" spans="1:13" ht="19.5" customHeight="1">
      <c r="A6" s="13" t="s">
        <v>651</v>
      </c>
      <c r="B6" s="14" t="s">
        <v>237</v>
      </c>
      <c r="C6" s="14" t="s">
        <v>652</v>
      </c>
      <c r="D6" s="14" t="s">
        <v>653</v>
      </c>
      <c r="E6" s="15" t="s">
        <v>257</v>
      </c>
      <c r="F6" s="16" t="s">
        <v>648</v>
      </c>
      <c r="G6" s="14">
        <v>3</v>
      </c>
      <c r="H6" s="9" t="s">
        <v>577</v>
      </c>
      <c r="I6" s="1">
        <v>3</v>
      </c>
      <c r="J6" s="14" t="s">
        <v>654</v>
      </c>
      <c r="K6" s="14" t="s">
        <v>642</v>
      </c>
      <c r="L6" s="14" t="s">
        <v>655</v>
      </c>
      <c r="M6" s="16" t="s">
        <v>644</v>
      </c>
    </row>
    <row r="7" spans="1:13" ht="19.5" customHeight="1">
      <c r="A7" s="10" t="s">
        <v>656</v>
      </c>
      <c r="B7" s="11" t="s">
        <v>25</v>
      </c>
      <c r="C7" s="11" t="s">
        <v>638</v>
      </c>
      <c r="D7" s="11" t="s">
        <v>639</v>
      </c>
      <c r="E7" s="7" t="s">
        <v>238</v>
      </c>
      <c r="F7" s="12" t="s">
        <v>263</v>
      </c>
      <c r="G7" s="11">
        <v>2</v>
      </c>
      <c r="H7" s="9" t="s">
        <v>582</v>
      </c>
      <c r="I7" s="3">
        <v>2</v>
      </c>
      <c r="J7" s="11" t="s">
        <v>657</v>
      </c>
      <c r="K7" s="11" t="s">
        <v>658</v>
      </c>
      <c r="L7" s="11" t="s">
        <v>659</v>
      </c>
      <c r="M7" s="12" t="s">
        <v>660</v>
      </c>
    </row>
    <row r="8" spans="1:13" ht="19.5" customHeight="1">
      <c r="A8" s="5" t="s">
        <v>661</v>
      </c>
      <c r="B8" s="6" t="s">
        <v>25</v>
      </c>
      <c r="C8" s="6" t="s">
        <v>662</v>
      </c>
      <c r="D8" s="6" t="s">
        <v>663</v>
      </c>
      <c r="E8" s="7" t="s">
        <v>238</v>
      </c>
      <c r="F8" s="8" t="s">
        <v>664</v>
      </c>
      <c r="G8" s="6">
        <v>3</v>
      </c>
      <c r="H8" s="9" t="s">
        <v>582</v>
      </c>
      <c r="I8" s="1">
        <v>3</v>
      </c>
      <c r="J8" s="6" t="s">
        <v>665</v>
      </c>
      <c r="K8" s="6" t="s">
        <v>658</v>
      </c>
      <c r="L8" s="6" t="s">
        <v>666</v>
      </c>
      <c r="M8" s="8" t="s">
        <v>667</v>
      </c>
    </row>
    <row r="9" spans="1:13" ht="19.5" customHeight="1">
      <c r="A9" s="10" t="s">
        <v>668</v>
      </c>
      <c r="B9" s="11" t="s">
        <v>25</v>
      </c>
      <c r="C9" s="11" t="s">
        <v>646</v>
      </c>
      <c r="D9" s="11" t="s">
        <v>647</v>
      </c>
      <c r="E9" s="7" t="s">
        <v>238</v>
      </c>
      <c r="F9" s="12" t="s">
        <v>263</v>
      </c>
      <c r="G9" s="11">
        <v>2</v>
      </c>
      <c r="H9" s="9" t="s">
        <v>582</v>
      </c>
      <c r="I9" s="3">
        <v>2</v>
      </c>
      <c r="J9" s="11" t="s">
        <v>665</v>
      </c>
      <c r="K9" s="11" t="s">
        <v>642</v>
      </c>
      <c r="L9" s="11" t="s">
        <v>669</v>
      </c>
      <c r="M9" s="12" t="s">
        <v>660</v>
      </c>
    </row>
    <row r="10" spans="1:13" ht="19.5" customHeight="1">
      <c r="A10" s="5" t="s">
        <v>670</v>
      </c>
      <c r="B10" s="6" t="s">
        <v>25</v>
      </c>
      <c r="C10" s="6" t="s">
        <v>671</v>
      </c>
      <c r="D10" s="6" t="s">
        <v>672</v>
      </c>
      <c r="E10" s="7" t="s">
        <v>238</v>
      </c>
      <c r="F10" s="8" t="s">
        <v>664</v>
      </c>
      <c r="G10" s="6">
        <v>2</v>
      </c>
      <c r="H10" s="9" t="s">
        <v>582</v>
      </c>
      <c r="I10" s="3">
        <v>2</v>
      </c>
      <c r="J10" s="6" t="s">
        <v>654</v>
      </c>
      <c r="K10" s="6" t="s">
        <v>673</v>
      </c>
      <c r="L10" s="6" t="s">
        <v>674</v>
      </c>
      <c r="M10" s="8" t="s">
        <v>675</v>
      </c>
    </row>
    <row r="11" spans="1:13" ht="19.5" customHeight="1">
      <c r="A11" s="10" t="s">
        <v>676</v>
      </c>
      <c r="B11" s="11" t="s">
        <v>25</v>
      </c>
      <c r="C11" s="11" t="s">
        <v>652</v>
      </c>
      <c r="D11" s="11" t="s">
        <v>653</v>
      </c>
      <c r="E11" s="15" t="s">
        <v>257</v>
      </c>
      <c r="F11" s="12" t="s">
        <v>263</v>
      </c>
      <c r="G11" s="11">
        <v>2</v>
      </c>
      <c r="H11" s="9" t="s">
        <v>582</v>
      </c>
      <c r="I11" s="3">
        <v>2</v>
      </c>
      <c r="J11" s="11" t="s">
        <v>641</v>
      </c>
      <c r="K11" s="11" t="s">
        <v>677</v>
      </c>
      <c r="L11" s="11" t="s">
        <v>678</v>
      </c>
      <c r="M11" s="12" t="s">
        <v>660</v>
      </c>
    </row>
    <row r="12" spans="1:13" ht="19.5" customHeight="1">
      <c r="A12" s="13" t="s">
        <v>679</v>
      </c>
      <c r="B12" s="14" t="s">
        <v>25</v>
      </c>
      <c r="C12" s="14" t="s">
        <v>680</v>
      </c>
      <c r="D12" s="14" t="s">
        <v>639</v>
      </c>
      <c r="E12" s="15" t="s">
        <v>257</v>
      </c>
      <c r="F12" s="16" t="s">
        <v>681</v>
      </c>
      <c r="G12" s="14">
        <v>2</v>
      </c>
      <c r="H12" s="9" t="s">
        <v>582</v>
      </c>
      <c r="I12" s="3">
        <v>2</v>
      </c>
      <c r="J12" s="14" t="s">
        <v>682</v>
      </c>
      <c r="K12" s="14" t="s">
        <v>658</v>
      </c>
      <c r="L12" s="14" t="s">
        <v>683</v>
      </c>
      <c r="M12" s="16" t="s">
        <v>675</v>
      </c>
    </row>
    <row r="13" spans="1:13" ht="19.5" customHeight="1">
      <c r="A13" s="10" t="s">
        <v>684</v>
      </c>
      <c r="B13" s="11" t="s">
        <v>32</v>
      </c>
      <c r="C13" s="11" t="s">
        <v>638</v>
      </c>
      <c r="D13" s="11" t="s">
        <v>639</v>
      </c>
      <c r="E13" s="7" t="s">
        <v>238</v>
      </c>
      <c r="F13" s="12" t="s">
        <v>685</v>
      </c>
      <c r="G13" s="11">
        <v>3</v>
      </c>
      <c r="H13" s="9" t="s">
        <v>586</v>
      </c>
      <c r="I13" s="1">
        <v>3</v>
      </c>
      <c r="J13" s="11" t="s">
        <v>649</v>
      </c>
      <c r="K13" s="11" t="s">
        <v>686</v>
      </c>
      <c r="L13" s="11" t="s">
        <v>687</v>
      </c>
      <c r="M13" s="12" t="s">
        <v>688</v>
      </c>
    </row>
    <row r="14" spans="1:13" ht="19.5" customHeight="1">
      <c r="A14" s="5" t="s">
        <v>689</v>
      </c>
      <c r="B14" s="6" t="s">
        <v>32</v>
      </c>
      <c r="C14" s="6" t="s">
        <v>690</v>
      </c>
      <c r="D14" s="6" t="s">
        <v>691</v>
      </c>
      <c r="E14" s="7" t="s">
        <v>238</v>
      </c>
      <c r="F14" s="8" t="s">
        <v>692</v>
      </c>
      <c r="G14" s="6">
        <v>4</v>
      </c>
      <c r="H14" s="9" t="s">
        <v>586</v>
      </c>
      <c r="I14" s="2">
        <v>4</v>
      </c>
      <c r="J14" s="6" t="s">
        <v>693</v>
      </c>
      <c r="K14" s="6" t="s">
        <v>642</v>
      </c>
      <c r="L14" s="6" t="s">
        <v>694</v>
      </c>
      <c r="M14" s="8" t="s">
        <v>695</v>
      </c>
    </row>
    <row r="15" spans="1:13" ht="19.5" customHeight="1">
      <c r="A15" s="10" t="s">
        <v>696</v>
      </c>
      <c r="B15" s="11" t="s">
        <v>32</v>
      </c>
      <c r="C15" s="11" t="s">
        <v>671</v>
      </c>
      <c r="D15" s="11" t="s">
        <v>672</v>
      </c>
      <c r="E15" s="7" t="s">
        <v>238</v>
      </c>
      <c r="F15" s="12" t="s">
        <v>697</v>
      </c>
      <c r="G15" s="11">
        <v>3</v>
      </c>
      <c r="H15" s="9" t="s">
        <v>586</v>
      </c>
      <c r="I15" s="1">
        <v>3</v>
      </c>
      <c r="J15" s="11" t="s">
        <v>698</v>
      </c>
      <c r="K15" s="11" t="s">
        <v>642</v>
      </c>
      <c r="L15" s="11" t="s">
        <v>699</v>
      </c>
      <c r="M15" s="12" t="s">
        <v>688</v>
      </c>
    </row>
    <row r="16" spans="1:13" ht="19.5" customHeight="1">
      <c r="A16" s="5" t="s">
        <v>700</v>
      </c>
      <c r="B16" s="6" t="s">
        <v>32</v>
      </c>
      <c r="C16" s="6" t="s">
        <v>701</v>
      </c>
      <c r="D16" s="6" t="s">
        <v>702</v>
      </c>
      <c r="E16" s="7" t="s">
        <v>238</v>
      </c>
      <c r="F16" s="8" t="s">
        <v>692</v>
      </c>
      <c r="G16" s="6">
        <v>3</v>
      </c>
      <c r="H16" s="9" t="s">
        <v>586</v>
      </c>
      <c r="I16" s="1">
        <v>3</v>
      </c>
      <c r="J16" s="6" t="s">
        <v>641</v>
      </c>
      <c r="K16" s="6" t="s">
        <v>642</v>
      </c>
      <c r="L16" s="6" t="s">
        <v>703</v>
      </c>
      <c r="M16" s="8" t="s">
        <v>704</v>
      </c>
    </row>
    <row r="17" spans="1:13" ht="19.5" customHeight="1">
      <c r="A17" s="10" t="s">
        <v>705</v>
      </c>
      <c r="B17" s="11" t="s">
        <v>32</v>
      </c>
      <c r="C17" s="11" t="s">
        <v>680</v>
      </c>
      <c r="D17" s="11" t="s">
        <v>639</v>
      </c>
      <c r="E17" s="15" t="s">
        <v>257</v>
      </c>
      <c r="F17" s="12" t="s">
        <v>685</v>
      </c>
      <c r="G17" s="11">
        <v>2</v>
      </c>
      <c r="H17" s="9" t="s">
        <v>586</v>
      </c>
      <c r="I17" s="3">
        <v>2</v>
      </c>
      <c r="J17" s="11" t="s">
        <v>649</v>
      </c>
      <c r="K17" s="11" t="s">
        <v>706</v>
      </c>
      <c r="L17" s="11" t="s">
        <v>707</v>
      </c>
      <c r="M17" s="12" t="s">
        <v>675</v>
      </c>
    </row>
    <row r="18" spans="1:13" ht="19.5" customHeight="1">
      <c r="A18" s="13" t="s">
        <v>708</v>
      </c>
      <c r="B18" s="14" t="s">
        <v>32</v>
      </c>
      <c r="C18" s="14" t="s">
        <v>709</v>
      </c>
      <c r="D18" s="14" t="s">
        <v>663</v>
      </c>
      <c r="E18" s="15" t="s">
        <v>257</v>
      </c>
      <c r="F18" s="16" t="s">
        <v>710</v>
      </c>
      <c r="G18" s="14">
        <v>3</v>
      </c>
      <c r="H18" s="9" t="s">
        <v>586</v>
      </c>
      <c r="I18" s="1">
        <v>3</v>
      </c>
      <c r="J18" s="14" t="s">
        <v>682</v>
      </c>
      <c r="K18" s="14" t="s">
        <v>658</v>
      </c>
      <c r="L18" s="14" t="s">
        <v>711</v>
      </c>
      <c r="M18" s="16" t="s">
        <v>712</v>
      </c>
    </row>
    <row r="19" spans="1:13" ht="19.5" customHeight="1">
      <c r="A19" s="10" t="s">
        <v>713</v>
      </c>
      <c r="B19" s="11" t="s">
        <v>39</v>
      </c>
      <c r="C19" s="11" t="s">
        <v>638</v>
      </c>
      <c r="D19" s="11" t="s">
        <v>639</v>
      </c>
      <c r="E19" s="7" t="s">
        <v>238</v>
      </c>
      <c r="F19" s="12" t="s">
        <v>714</v>
      </c>
      <c r="G19" s="11">
        <v>2</v>
      </c>
      <c r="H19" s="9" t="s">
        <v>591</v>
      </c>
      <c r="I19" s="3">
        <v>2</v>
      </c>
      <c r="J19" s="11" t="s">
        <v>649</v>
      </c>
      <c r="K19" s="11" t="s">
        <v>642</v>
      </c>
      <c r="L19" s="11" t="s">
        <v>715</v>
      </c>
      <c r="M19" s="12" t="s">
        <v>716</v>
      </c>
    </row>
    <row r="20" spans="1:13" ht="19.5" customHeight="1">
      <c r="A20" s="5" t="s">
        <v>717</v>
      </c>
      <c r="B20" s="6" t="s">
        <v>39</v>
      </c>
      <c r="C20" s="6" t="s">
        <v>690</v>
      </c>
      <c r="D20" s="6" t="s">
        <v>691</v>
      </c>
      <c r="E20" s="7" t="s">
        <v>238</v>
      </c>
      <c r="F20" s="8" t="s">
        <v>301</v>
      </c>
      <c r="G20" s="6">
        <v>2</v>
      </c>
      <c r="H20" s="9" t="s">
        <v>591</v>
      </c>
      <c r="I20" s="3">
        <v>2</v>
      </c>
      <c r="J20" s="6" t="s">
        <v>654</v>
      </c>
      <c r="K20" s="6" t="s">
        <v>479</v>
      </c>
      <c r="L20" s="6" t="s">
        <v>718</v>
      </c>
      <c r="M20" s="8" t="s">
        <v>660</v>
      </c>
    </row>
    <row r="21" spans="1:13" ht="19.5" customHeight="1">
      <c r="A21" s="10" t="s">
        <v>719</v>
      </c>
      <c r="B21" s="11" t="s">
        <v>39</v>
      </c>
      <c r="C21" s="11" t="s">
        <v>646</v>
      </c>
      <c r="D21" s="11" t="s">
        <v>647</v>
      </c>
      <c r="E21" s="7" t="s">
        <v>238</v>
      </c>
      <c r="F21" s="12" t="s">
        <v>299</v>
      </c>
      <c r="G21" s="11">
        <v>2</v>
      </c>
      <c r="H21" s="9" t="s">
        <v>591</v>
      </c>
      <c r="I21" s="3">
        <v>2</v>
      </c>
      <c r="J21" s="11" t="s">
        <v>654</v>
      </c>
      <c r="K21" s="11" t="s">
        <v>479</v>
      </c>
      <c r="L21" s="11" t="s">
        <v>720</v>
      </c>
      <c r="M21" s="12" t="s">
        <v>660</v>
      </c>
    </row>
    <row r="22" spans="1:13" ht="19.5" customHeight="1">
      <c r="A22" s="5" t="s">
        <v>721</v>
      </c>
      <c r="B22" s="6" t="s">
        <v>39</v>
      </c>
      <c r="C22" s="6" t="s">
        <v>701</v>
      </c>
      <c r="D22" s="6" t="s">
        <v>702</v>
      </c>
      <c r="E22" s="7" t="s">
        <v>238</v>
      </c>
      <c r="F22" s="8" t="s">
        <v>301</v>
      </c>
      <c r="G22" s="6">
        <v>2</v>
      </c>
      <c r="H22" s="9" t="s">
        <v>591</v>
      </c>
      <c r="I22" s="3">
        <v>2</v>
      </c>
      <c r="J22" s="6" t="s">
        <v>665</v>
      </c>
      <c r="K22" s="6" t="s">
        <v>642</v>
      </c>
      <c r="L22" s="6" t="s">
        <v>722</v>
      </c>
      <c r="M22" s="8" t="s">
        <v>660</v>
      </c>
    </row>
    <row r="23" spans="1:13" ht="19.5" customHeight="1">
      <c r="A23" s="10" t="s">
        <v>723</v>
      </c>
      <c r="B23" s="11" t="s">
        <v>39</v>
      </c>
      <c r="C23" s="11" t="s">
        <v>652</v>
      </c>
      <c r="D23" s="11" t="s">
        <v>653</v>
      </c>
      <c r="E23" s="15" t="s">
        <v>257</v>
      </c>
      <c r="F23" s="12" t="s">
        <v>714</v>
      </c>
      <c r="G23" s="11">
        <v>3</v>
      </c>
      <c r="H23" s="9" t="s">
        <v>591</v>
      </c>
      <c r="I23" s="1">
        <v>3</v>
      </c>
      <c r="J23" s="11" t="s">
        <v>654</v>
      </c>
      <c r="K23" s="11" t="s">
        <v>677</v>
      </c>
      <c r="L23" s="11" t="s">
        <v>724</v>
      </c>
      <c r="M23" s="12" t="s">
        <v>688</v>
      </c>
    </row>
    <row r="24" spans="1:13" ht="19.5" customHeight="1">
      <c r="A24" s="13" t="s">
        <v>725</v>
      </c>
      <c r="B24" s="14" t="s">
        <v>39</v>
      </c>
      <c r="C24" s="14" t="s">
        <v>709</v>
      </c>
      <c r="D24" s="14" t="s">
        <v>663</v>
      </c>
      <c r="E24" s="15" t="s">
        <v>257</v>
      </c>
      <c r="F24" s="16" t="s">
        <v>301</v>
      </c>
      <c r="G24" s="14">
        <v>2</v>
      </c>
      <c r="H24" s="9" t="s">
        <v>591</v>
      </c>
      <c r="I24" s="3">
        <v>2</v>
      </c>
      <c r="J24" s="14" t="s">
        <v>649</v>
      </c>
      <c r="K24" s="14" t="s">
        <v>726</v>
      </c>
      <c r="L24" s="14" t="s">
        <v>727</v>
      </c>
      <c r="M24" s="16" t="s">
        <v>660</v>
      </c>
    </row>
    <row r="25" spans="1:13" ht="19.5" customHeight="1">
      <c r="A25" s="10" t="s">
        <v>728</v>
      </c>
      <c r="B25" s="11" t="s">
        <v>46</v>
      </c>
      <c r="C25" s="11" t="s">
        <v>638</v>
      </c>
      <c r="D25" s="11" t="s">
        <v>639</v>
      </c>
      <c r="E25" s="7" t="s">
        <v>238</v>
      </c>
      <c r="F25" s="12" t="s">
        <v>729</v>
      </c>
      <c r="G25" s="11">
        <v>2</v>
      </c>
      <c r="H25" s="9" t="s">
        <v>594</v>
      </c>
      <c r="I25" s="3">
        <v>2</v>
      </c>
      <c r="J25" s="11" t="s">
        <v>649</v>
      </c>
      <c r="K25" s="11" t="s">
        <v>706</v>
      </c>
      <c r="L25" s="11" t="s">
        <v>730</v>
      </c>
      <c r="M25" s="12" t="s">
        <v>716</v>
      </c>
    </row>
    <row r="26" spans="1:13" ht="19.5" customHeight="1">
      <c r="A26" s="5" t="s">
        <v>731</v>
      </c>
      <c r="B26" s="6" t="s">
        <v>46</v>
      </c>
      <c r="C26" s="6" t="s">
        <v>662</v>
      </c>
      <c r="D26" s="6" t="s">
        <v>663</v>
      </c>
      <c r="E26" s="7" t="s">
        <v>238</v>
      </c>
      <c r="F26" s="8" t="s">
        <v>732</v>
      </c>
      <c r="G26" s="6">
        <v>2</v>
      </c>
      <c r="H26" s="9" t="s">
        <v>594</v>
      </c>
      <c r="I26" s="3">
        <v>2</v>
      </c>
      <c r="J26" s="6" t="s">
        <v>649</v>
      </c>
      <c r="K26" s="6" t="s">
        <v>658</v>
      </c>
      <c r="L26" s="6" t="s">
        <v>733</v>
      </c>
      <c r="M26" s="8" t="s">
        <v>675</v>
      </c>
    </row>
    <row r="27" spans="1:13" ht="19.5" customHeight="1">
      <c r="A27" s="10" t="s">
        <v>734</v>
      </c>
      <c r="B27" s="11" t="s">
        <v>46</v>
      </c>
      <c r="C27" s="11" t="s">
        <v>646</v>
      </c>
      <c r="D27" s="11" t="s">
        <v>647</v>
      </c>
      <c r="E27" s="7" t="s">
        <v>238</v>
      </c>
      <c r="F27" s="12" t="s">
        <v>735</v>
      </c>
      <c r="G27" s="11">
        <v>3</v>
      </c>
      <c r="H27" s="9" t="s">
        <v>594</v>
      </c>
      <c r="I27" s="1">
        <v>3</v>
      </c>
      <c r="J27" s="11" t="s">
        <v>654</v>
      </c>
      <c r="K27" s="11" t="s">
        <v>677</v>
      </c>
      <c r="L27" s="11" t="s">
        <v>736</v>
      </c>
      <c r="M27" s="12" t="s">
        <v>688</v>
      </c>
    </row>
    <row r="28" spans="1:13" ht="19.5" customHeight="1">
      <c r="A28" s="5" t="s">
        <v>737</v>
      </c>
      <c r="B28" s="6" t="s">
        <v>46</v>
      </c>
      <c r="C28" s="6" t="s">
        <v>671</v>
      </c>
      <c r="D28" s="6" t="s">
        <v>672</v>
      </c>
      <c r="E28" s="7" t="s">
        <v>238</v>
      </c>
      <c r="F28" s="8" t="s">
        <v>738</v>
      </c>
      <c r="G28" s="6">
        <v>3</v>
      </c>
      <c r="H28" s="9" t="s">
        <v>594</v>
      </c>
      <c r="I28" s="1">
        <v>3</v>
      </c>
      <c r="J28" s="6" t="s">
        <v>649</v>
      </c>
      <c r="K28" s="6" t="s">
        <v>677</v>
      </c>
      <c r="L28" s="6" t="s">
        <v>739</v>
      </c>
      <c r="M28" s="8" t="s">
        <v>688</v>
      </c>
    </row>
    <row r="29" spans="1:13" ht="19.5" customHeight="1">
      <c r="A29" s="10" t="s">
        <v>740</v>
      </c>
      <c r="B29" s="11" t="s">
        <v>46</v>
      </c>
      <c r="C29" s="11" t="s">
        <v>652</v>
      </c>
      <c r="D29" s="11" t="s">
        <v>653</v>
      </c>
      <c r="E29" s="15" t="s">
        <v>257</v>
      </c>
      <c r="F29" s="12" t="s">
        <v>729</v>
      </c>
      <c r="G29" s="11">
        <v>2</v>
      </c>
      <c r="H29" s="9" t="s">
        <v>594</v>
      </c>
      <c r="I29" s="3">
        <v>2</v>
      </c>
      <c r="J29" s="11" t="s">
        <v>641</v>
      </c>
      <c r="K29" s="11" t="s">
        <v>642</v>
      </c>
      <c r="L29" s="11" t="s">
        <v>741</v>
      </c>
      <c r="M29" s="12" t="s">
        <v>675</v>
      </c>
    </row>
    <row r="30" spans="1:13" ht="19.5" customHeight="1">
      <c r="A30" s="13" t="s">
        <v>742</v>
      </c>
      <c r="B30" s="14" t="s">
        <v>46</v>
      </c>
      <c r="C30" s="14" t="s">
        <v>680</v>
      </c>
      <c r="D30" s="14" t="s">
        <v>639</v>
      </c>
      <c r="E30" s="15" t="s">
        <v>257</v>
      </c>
      <c r="F30" s="16" t="s">
        <v>738</v>
      </c>
      <c r="G30" s="14">
        <v>2</v>
      </c>
      <c r="H30" s="9" t="s">
        <v>594</v>
      </c>
      <c r="I30" s="3">
        <v>2</v>
      </c>
      <c r="J30" s="14" t="s">
        <v>682</v>
      </c>
      <c r="K30" s="14" t="s">
        <v>658</v>
      </c>
      <c r="L30" s="14" t="s">
        <v>743</v>
      </c>
      <c r="M30" s="16" t="s">
        <v>675</v>
      </c>
    </row>
    <row r="31" spans="1:13" ht="19.5" customHeight="1">
      <c r="A31" s="10" t="s">
        <v>744</v>
      </c>
      <c r="B31" s="11" t="s">
        <v>53</v>
      </c>
      <c r="C31" s="11" t="s">
        <v>662</v>
      </c>
      <c r="D31" s="11" t="s">
        <v>663</v>
      </c>
      <c r="E31" s="7" t="s">
        <v>238</v>
      </c>
      <c r="F31" s="12" t="s">
        <v>745</v>
      </c>
      <c r="G31" s="11">
        <v>2</v>
      </c>
      <c r="H31" s="9" t="s">
        <v>597</v>
      </c>
      <c r="I31" s="3">
        <v>2</v>
      </c>
      <c r="J31" s="11" t="s">
        <v>649</v>
      </c>
      <c r="K31" s="11" t="s">
        <v>658</v>
      </c>
      <c r="L31" s="11" t="s">
        <v>746</v>
      </c>
      <c r="M31" s="12" t="s">
        <v>675</v>
      </c>
    </row>
    <row r="32" spans="1:13" ht="19.5" customHeight="1">
      <c r="A32" s="5" t="s">
        <v>747</v>
      </c>
      <c r="B32" s="6" t="s">
        <v>53</v>
      </c>
      <c r="C32" s="6" t="s">
        <v>690</v>
      </c>
      <c r="D32" s="6" t="s">
        <v>691</v>
      </c>
      <c r="E32" s="7" t="s">
        <v>238</v>
      </c>
      <c r="F32" s="8" t="s">
        <v>748</v>
      </c>
      <c r="G32" s="6">
        <v>2</v>
      </c>
      <c r="H32" s="9" t="s">
        <v>597</v>
      </c>
      <c r="I32" s="3">
        <v>2</v>
      </c>
      <c r="J32" s="6" t="s">
        <v>698</v>
      </c>
      <c r="K32" s="6" t="s">
        <v>706</v>
      </c>
      <c r="L32" s="6" t="s">
        <v>749</v>
      </c>
      <c r="M32" s="8" t="s">
        <v>660</v>
      </c>
    </row>
    <row r="33" spans="1:13" ht="19.5" customHeight="1">
      <c r="A33" s="10" t="s">
        <v>750</v>
      </c>
      <c r="B33" s="11" t="s">
        <v>53</v>
      </c>
      <c r="C33" s="11" t="s">
        <v>671</v>
      </c>
      <c r="D33" s="11" t="s">
        <v>672</v>
      </c>
      <c r="E33" s="7" t="s">
        <v>238</v>
      </c>
      <c r="F33" s="12" t="s">
        <v>751</v>
      </c>
      <c r="G33" s="11">
        <v>2</v>
      </c>
      <c r="H33" s="9" t="s">
        <v>597</v>
      </c>
      <c r="I33" s="3">
        <v>2</v>
      </c>
      <c r="J33" s="11" t="s">
        <v>654</v>
      </c>
      <c r="K33" s="11" t="s">
        <v>642</v>
      </c>
      <c r="L33" s="11" t="s">
        <v>752</v>
      </c>
      <c r="M33" s="12" t="s">
        <v>675</v>
      </c>
    </row>
    <row r="34" spans="1:13" ht="19.5" customHeight="1">
      <c r="A34" s="5" t="s">
        <v>753</v>
      </c>
      <c r="B34" s="6" t="s">
        <v>53</v>
      </c>
      <c r="C34" s="6" t="s">
        <v>701</v>
      </c>
      <c r="D34" s="6" t="s">
        <v>702</v>
      </c>
      <c r="E34" s="7" t="s">
        <v>238</v>
      </c>
      <c r="F34" s="8" t="s">
        <v>748</v>
      </c>
      <c r="G34" s="6">
        <v>2</v>
      </c>
      <c r="H34" s="9" t="s">
        <v>597</v>
      </c>
      <c r="I34" s="3">
        <v>2</v>
      </c>
      <c r="J34" s="6" t="s">
        <v>654</v>
      </c>
      <c r="K34" s="6" t="s">
        <v>479</v>
      </c>
      <c r="L34" s="6" t="s">
        <v>754</v>
      </c>
      <c r="M34" s="8" t="s">
        <v>660</v>
      </c>
    </row>
    <row r="35" spans="1:13" ht="19.5" customHeight="1">
      <c r="A35" s="10" t="s">
        <v>755</v>
      </c>
      <c r="B35" s="11" t="s">
        <v>53</v>
      </c>
      <c r="C35" s="11" t="s">
        <v>680</v>
      </c>
      <c r="D35" s="11" t="s">
        <v>639</v>
      </c>
      <c r="E35" s="15" t="s">
        <v>257</v>
      </c>
      <c r="F35" s="12" t="s">
        <v>745</v>
      </c>
      <c r="G35" s="11">
        <v>2</v>
      </c>
      <c r="H35" s="9" t="s">
        <v>597</v>
      </c>
      <c r="I35" s="3">
        <v>2</v>
      </c>
      <c r="J35" s="11" t="s">
        <v>649</v>
      </c>
      <c r="K35" s="11" t="s">
        <v>706</v>
      </c>
      <c r="L35" s="11" t="s">
        <v>756</v>
      </c>
      <c r="M35" s="12" t="s">
        <v>675</v>
      </c>
    </row>
    <row r="36" spans="1:13" ht="19.5" customHeight="1">
      <c r="A36" s="13" t="s">
        <v>757</v>
      </c>
      <c r="B36" s="14" t="s">
        <v>53</v>
      </c>
      <c r="C36" s="14" t="s">
        <v>709</v>
      </c>
      <c r="D36" s="14" t="s">
        <v>663</v>
      </c>
      <c r="E36" s="15" t="s">
        <v>257</v>
      </c>
      <c r="F36" s="16" t="s">
        <v>748</v>
      </c>
      <c r="G36" s="14">
        <v>2</v>
      </c>
      <c r="H36" s="9" t="s">
        <v>597</v>
      </c>
      <c r="I36" s="3">
        <v>2</v>
      </c>
      <c r="J36" s="14" t="s">
        <v>682</v>
      </c>
      <c r="K36" s="14" t="s">
        <v>686</v>
      </c>
      <c r="L36" s="14" t="s">
        <v>758</v>
      </c>
      <c r="M36" s="16" t="s">
        <v>660</v>
      </c>
    </row>
    <row r="37" spans="1:13" ht="19.5" customHeight="1">
      <c r="A37" s="10" t="s">
        <v>759</v>
      </c>
      <c r="B37" s="11" t="s">
        <v>60</v>
      </c>
      <c r="C37" s="11" t="s">
        <v>638</v>
      </c>
      <c r="D37" s="11" t="s">
        <v>639</v>
      </c>
      <c r="E37" s="7" t="s">
        <v>238</v>
      </c>
      <c r="F37" s="12" t="s">
        <v>760</v>
      </c>
      <c r="G37" s="11">
        <v>4</v>
      </c>
      <c r="H37" s="9" t="s">
        <v>601</v>
      </c>
      <c r="I37" s="2">
        <v>4</v>
      </c>
      <c r="J37" s="11" t="s">
        <v>649</v>
      </c>
      <c r="K37" s="11" t="s">
        <v>658</v>
      </c>
      <c r="L37" s="11" t="s">
        <v>761</v>
      </c>
      <c r="M37" s="12" t="s">
        <v>762</v>
      </c>
    </row>
    <row r="38" spans="1:13" ht="19.5" customHeight="1">
      <c r="A38" s="5" t="s">
        <v>763</v>
      </c>
      <c r="B38" s="6" t="s">
        <v>60</v>
      </c>
      <c r="C38" s="6" t="s">
        <v>662</v>
      </c>
      <c r="D38" s="6" t="s">
        <v>663</v>
      </c>
      <c r="E38" s="7" t="s">
        <v>238</v>
      </c>
      <c r="F38" s="8" t="s">
        <v>764</v>
      </c>
      <c r="G38" s="6">
        <v>4</v>
      </c>
      <c r="H38" s="9" t="s">
        <v>601</v>
      </c>
      <c r="I38" s="2">
        <v>4</v>
      </c>
      <c r="J38" s="6" t="s">
        <v>649</v>
      </c>
      <c r="K38" s="6" t="s">
        <v>658</v>
      </c>
      <c r="L38" s="6" t="s">
        <v>765</v>
      </c>
      <c r="M38" s="8" t="s">
        <v>762</v>
      </c>
    </row>
    <row r="39" spans="1:13" ht="19.5" customHeight="1">
      <c r="A39" s="10" t="s">
        <v>766</v>
      </c>
      <c r="B39" s="11" t="s">
        <v>60</v>
      </c>
      <c r="C39" s="11" t="s">
        <v>690</v>
      </c>
      <c r="D39" s="11" t="s">
        <v>691</v>
      </c>
      <c r="E39" s="7" t="s">
        <v>238</v>
      </c>
      <c r="F39" s="12" t="s">
        <v>767</v>
      </c>
      <c r="G39" s="11">
        <v>3</v>
      </c>
      <c r="H39" s="9" t="s">
        <v>601</v>
      </c>
      <c r="I39" s="1">
        <v>3</v>
      </c>
      <c r="J39" s="11" t="s">
        <v>654</v>
      </c>
      <c r="K39" s="11" t="s">
        <v>642</v>
      </c>
      <c r="L39" s="11" t="s">
        <v>768</v>
      </c>
      <c r="M39" s="12" t="s">
        <v>769</v>
      </c>
    </row>
    <row r="40" spans="1:13" ht="19.5" customHeight="1">
      <c r="A40" s="5" t="s">
        <v>770</v>
      </c>
      <c r="B40" s="6" t="s">
        <v>60</v>
      </c>
      <c r="C40" s="6" t="s">
        <v>646</v>
      </c>
      <c r="D40" s="6" t="s">
        <v>647</v>
      </c>
      <c r="E40" s="7" t="s">
        <v>238</v>
      </c>
      <c r="F40" s="8" t="s">
        <v>771</v>
      </c>
      <c r="G40" s="6">
        <v>4</v>
      </c>
      <c r="H40" s="9" t="s">
        <v>601</v>
      </c>
      <c r="I40" s="2">
        <v>4</v>
      </c>
      <c r="J40" s="6" t="s">
        <v>649</v>
      </c>
      <c r="K40" s="6" t="s">
        <v>642</v>
      </c>
      <c r="L40" s="6" t="s">
        <v>772</v>
      </c>
      <c r="M40" s="8" t="s">
        <v>762</v>
      </c>
    </row>
    <row r="41" spans="1:13" ht="19.5" customHeight="1">
      <c r="A41" s="10" t="s">
        <v>773</v>
      </c>
      <c r="B41" s="11" t="s">
        <v>60</v>
      </c>
      <c r="C41" s="11" t="s">
        <v>671</v>
      </c>
      <c r="D41" s="11" t="s">
        <v>672</v>
      </c>
      <c r="E41" s="7" t="s">
        <v>238</v>
      </c>
      <c r="F41" s="12" t="s">
        <v>774</v>
      </c>
      <c r="G41" s="11">
        <v>4</v>
      </c>
      <c r="H41" s="9" t="s">
        <v>601</v>
      </c>
      <c r="I41" s="2">
        <v>4</v>
      </c>
      <c r="J41" s="11" t="s">
        <v>654</v>
      </c>
      <c r="K41" s="11" t="s">
        <v>642</v>
      </c>
      <c r="L41" s="11" t="s">
        <v>775</v>
      </c>
      <c r="M41" s="12" t="s">
        <v>762</v>
      </c>
    </row>
    <row r="42" spans="1:13" ht="19.5" customHeight="1">
      <c r="A42" s="5" t="s">
        <v>776</v>
      </c>
      <c r="B42" s="6" t="s">
        <v>60</v>
      </c>
      <c r="C42" s="6" t="s">
        <v>701</v>
      </c>
      <c r="D42" s="6" t="s">
        <v>702</v>
      </c>
      <c r="E42" s="7" t="s">
        <v>238</v>
      </c>
      <c r="F42" s="8" t="s">
        <v>777</v>
      </c>
      <c r="G42" s="6">
        <v>3</v>
      </c>
      <c r="H42" s="9" t="s">
        <v>601</v>
      </c>
      <c r="I42" s="1">
        <v>3</v>
      </c>
      <c r="J42" s="6" t="s">
        <v>654</v>
      </c>
      <c r="K42" s="6" t="s">
        <v>673</v>
      </c>
      <c r="L42" s="6" t="s">
        <v>778</v>
      </c>
      <c r="M42" s="8" t="s">
        <v>769</v>
      </c>
    </row>
    <row r="43" spans="1:13" ht="19.5" customHeight="1">
      <c r="A43" s="10" t="s">
        <v>779</v>
      </c>
      <c r="B43" s="11" t="s">
        <v>60</v>
      </c>
      <c r="C43" s="11" t="s">
        <v>652</v>
      </c>
      <c r="D43" s="11" t="s">
        <v>653</v>
      </c>
      <c r="E43" s="15" t="s">
        <v>257</v>
      </c>
      <c r="F43" s="12" t="s">
        <v>780</v>
      </c>
      <c r="G43" s="11">
        <v>4</v>
      </c>
      <c r="H43" s="9" t="s">
        <v>601</v>
      </c>
      <c r="I43" s="2">
        <v>4</v>
      </c>
      <c r="J43" s="11" t="s">
        <v>654</v>
      </c>
      <c r="K43" s="11" t="s">
        <v>642</v>
      </c>
      <c r="L43" s="11" t="s">
        <v>781</v>
      </c>
      <c r="M43" s="12" t="s">
        <v>762</v>
      </c>
    </row>
    <row r="44" spans="1:13" ht="19.5" customHeight="1">
      <c r="A44" s="13" t="s">
        <v>782</v>
      </c>
      <c r="B44" s="14" t="s">
        <v>60</v>
      </c>
      <c r="C44" s="14" t="s">
        <v>680</v>
      </c>
      <c r="D44" s="14" t="s">
        <v>639</v>
      </c>
      <c r="E44" s="15" t="s">
        <v>257</v>
      </c>
      <c r="F44" s="16" t="s">
        <v>783</v>
      </c>
      <c r="G44" s="14">
        <v>3</v>
      </c>
      <c r="H44" s="9" t="s">
        <v>601</v>
      </c>
      <c r="I44" s="1">
        <v>3</v>
      </c>
      <c r="J44" s="14" t="s">
        <v>649</v>
      </c>
      <c r="K44" s="14" t="s">
        <v>658</v>
      </c>
      <c r="L44" s="14" t="s">
        <v>784</v>
      </c>
      <c r="M44" s="16" t="s">
        <v>785</v>
      </c>
    </row>
    <row r="45" spans="1:13" ht="19.5" customHeight="1">
      <c r="A45" s="10" t="s">
        <v>786</v>
      </c>
      <c r="B45" s="11" t="s">
        <v>60</v>
      </c>
      <c r="C45" s="11" t="s">
        <v>709</v>
      </c>
      <c r="D45" s="11" t="s">
        <v>663</v>
      </c>
      <c r="E45" s="15" t="s">
        <v>257</v>
      </c>
      <c r="F45" s="12" t="s">
        <v>767</v>
      </c>
      <c r="G45" s="11">
        <v>3</v>
      </c>
      <c r="H45" s="9" t="s">
        <v>601</v>
      </c>
      <c r="I45" s="1">
        <v>3</v>
      </c>
      <c r="J45" s="11" t="s">
        <v>649</v>
      </c>
      <c r="K45" s="11" t="s">
        <v>658</v>
      </c>
      <c r="L45" s="11" t="s">
        <v>787</v>
      </c>
      <c r="M45" s="12" t="s">
        <v>769</v>
      </c>
    </row>
    <row r="46" spans="1:13" ht="19.5" customHeight="1">
      <c r="A46" s="5" t="s">
        <v>788</v>
      </c>
      <c r="B46" s="6" t="s">
        <v>70</v>
      </c>
      <c r="C46" s="6" t="s">
        <v>690</v>
      </c>
      <c r="D46" s="6" t="s">
        <v>691</v>
      </c>
      <c r="E46" s="7" t="s">
        <v>238</v>
      </c>
      <c r="F46" s="8" t="s">
        <v>789</v>
      </c>
      <c r="G46" s="6">
        <v>3</v>
      </c>
      <c r="H46" s="9" t="s">
        <v>605</v>
      </c>
      <c r="I46" s="1">
        <v>3</v>
      </c>
      <c r="J46" s="6" t="s">
        <v>641</v>
      </c>
      <c r="K46" s="6" t="s">
        <v>642</v>
      </c>
      <c r="L46" s="6" t="s">
        <v>790</v>
      </c>
      <c r="M46" s="8" t="s">
        <v>712</v>
      </c>
    </row>
    <row r="47" spans="1:13" ht="19.5" customHeight="1">
      <c r="A47" s="10" t="s">
        <v>791</v>
      </c>
      <c r="B47" s="11" t="s">
        <v>70</v>
      </c>
      <c r="C47" s="11" t="s">
        <v>701</v>
      </c>
      <c r="D47" s="11" t="s">
        <v>702</v>
      </c>
      <c r="E47" s="7" t="s">
        <v>238</v>
      </c>
      <c r="F47" s="12" t="s">
        <v>789</v>
      </c>
      <c r="G47" s="11">
        <v>3</v>
      </c>
      <c r="H47" s="9" t="s">
        <v>605</v>
      </c>
      <c r="I47" s="1">
        <v>3</v>
      </c>
      <c r="J47" s="11" t="s">
        <v>641</v>
      </c>
      <c r="K47" s="11" t="s">
        <v>642</v>
      </c>
      <c r="L47" s="11" t="s">
        <v>792</v>
      </c>
      <c r="M47" s="12" t="s">
        <v>712</v>
      </c>
    </row>
    <row r="48" spans="1:13" ht="19.5" customHeight="1">
      <c r="A48" s="13" t="s">
        <v>793</v>
      </c>
      <c r="B48" s="14" t="s">
        <v>70</v>
      </c>
      <c r="C48" s="14" t="s">
        <v>709</v>
      </c>
      <c r="D48" s="14" t="s">
        <v>663</v>
      </c>
      <c r="E48" s="15" t="s">
        <v>257</v>
      </c>
      <c r="F48" s="16" t="s">
        <v>794</v>
      </c>
      <c r="G48" s="14">
        <v>3</v>
      </c>
      <c r="H48" s="9" t="s">
        <v>605</v>
      </c>
      <c r="I48" s="1">
        <v>3</v>
      </c>
      <c r="J48" s="14" t="s">
        <v>682</v>
      </c>
      <c r="K48" s="14" t="s">
        <v>658</v>
      </c>
      <c r="L48" s="14" t="s">
        <v>795</v>
      </c>
      <c r="M48" s="16" t="s">
        <v>712</v>
      </c>
    </row>
    <row r="49" spans="1:13" ht="19.5" customHeight="1">
      <c r="A49" s="10" t="s">
        <v>796</v>
      </c>
      <c r="B49" s="11" t="s">
        <v>74</v>
      </c>
      <c r="C49" s="11" t="s">
        <v>638</v>
      </c>
      <c r="D49" s="11" t="s">
        <v>639</v>
      </c>
      <c r="E49" s="7" t="s">
        <v>238</v>
      </c>
      <c r="F49" s="12" t="s">
        <v>797</v>
      </c>
      <c r="G49" s="11">
        <v>3</v>
      </c>
      <c r="H49" s="9" t="s">
        <v>608</v>
      </c>
      <c r="I49" s="1">
        <v>3</v>
      </c>
      <c r="J49" s="11" t="s">
        <v>641</v>
      </c>
      <c r="K49" s="11" t="s">
        <v>658</v>
      </c>
      <c r="L49" s="11" t="s">
        <v>798</v>
      </c>
      <c r="M49" s="12" t="s">
        <v>785</v>
      </c>
    </row>
    <row r="50" spans="1:13" ht="19.5" customHeight="1">
      <c r="A50" s="5" t="s">
        <v>799</v>
      </c>
      <c r="B50" s="6" t="s">
        <v>74</v>
      </c>
      <c r="C50" s="6" t="s">
        <v>662</v>
      </c>
      <c r="D50" s="6" t="s">
        <v>663</v>
      </c>
      <c r="E50" s="7" t="s">
        <v>238</v>
      </c>
      <c r="F50" s="8" t="s">
        <v>800</v>
      </c>
      <c r="G50" s="6">
        <v>4</v>
      </c>
      <c r="H50" s="9" t="s">
        <v>608</v>
      </c>
      <c r="I50" s="2">
        <v>4</v>
      </c>
      <c r="J50" s="6" t="s">
        <v>649</v>
      </c>
      <c r="K50" s="6" t="s">
        <v>642</v>
      </c>
      <c r="L50" s="6" t="s">
        <v>801</v>
      </c>
      <c r="M50" s="8" t="s">
        <v>762</v>
      </c>
    </row>
    <row r="51" spans="1:13" ht="19.5" customHeight="1">
      <c r="A51" s="10" t="s">
        <v>802</v>
      </c>
      <c r="B51" s="11" t="s">
        <v>74</v>
      </c>
      <c r="C51" s="11" t="s">
        <v>690</v>
      </c>
      <c r="D51" s="11" t="s">
        <v>691</v>
      </c>
      <c r="E51" s="7" t="s">
        <v>238</v>
      </c>
      <c r="F51" s="12" t="s">
        <v>803</v>
      </c>
      <c r="G51" s="11">
        <v>2</v>
      </c>
      <c r="H51" s="9" t="s">
        <v>608</v>
      </c>
      <c r="I51" s="3">
        <v>2</v>
      </c>
      <c r="J51" s="11" t="s">
        <v>654</v>
      </c>
      <c r="K51" s="11" t="s">
        <v>706</v>
      </c>
      <c r="L51" s="11" t="s">
        <v>804</v>
      </c>
      <c r="M51" s="12" t="s">
        <v>716</v>
      </c>
    </row>
    <row r="52" spans="1:13" ht="19.5" customHeight="1">
      <c r="A52" s="5" t="s">
        <v>805</v>
      </c>
      <c r="B52" s="6" t="s">
        <v>74</v>
      </c>
      <c r="C52" s="6" t="s">
        <v>646</v>
      </c>
      <c r="D52" s="6" t="s">
        <v>647</v>
      </c>
      <c r="E52" s="7" t="s">
        <v>238</v>
      </c>
      <c r="F52" s="8" t="s">
        <v>806</v>
      </c>
      <c r="G52" s="6">
        <v>4</v>
      </c>
      <c r="H52" s="9" t="s">
        <v>608</v>
      </c>
      <c r="I52" s="2">
        <v>4</v>
      </c>
      <c r="J52" s="6" t="s">
        <v>654</v>
      </c>
      <c r="K52" s="6" t="s">
        <v>673</v>
      </c>
      <c r="L52" s="6" t="s">
        <v>807</v>
      </c>
      <c r="M52" s="8" t="s">
        <v>808</v>
      </c>
    </row>
    <row r="53" spans="1:13" ht="19.5" customHeight="1">
      <c r="A53" s="10" t="s">
        <v>809</v>
      </c>
      <c r="B53" s="11" t="s">
        <v>74</v>
      </c>
      <c r="C53" s="11" t="s">
        <v>671</v>
      </c>
      <c r="D53" s="11" t="s">
        <v>672</v>
      </c>
      <c r="E53" s="7" t="s">
        <v>238</v>
      </c>
      <c r="F53" s="12" t="s">
        <v>810</v>
      </c>
      <c r="G53" s="11">
        <v>4</v>
      </c>
      <c r="H53" s="9" t="s">
        <v>608</v>
      </c>
      <c r="I53" s="2">
        <v>4</v>
      </c>
      <c r="J53" s="11" t="s">
        <v>654</v>
      </c>
      <c r="K53" s="11" t="s">
        <v>642</v>
      </c>
      <c r="L53" s="11" t="s">
        <v>811</v>
      </c>
      <c r="M53" s="12" t="s">
        <v>762</v>
      </c>
    </row>
    <row r="54" spans="1:13" ht="19.5" customHeight="1">
      <c r="A54" s="5" t="s">
        <v>812</v>
      </c>
      <c r="B54" s="6" t="s">
        <v>74</v>
      </c>
      <c r="C54" s="6" t="s">
        <v>701</v>
      </c>
      <c r="D54" s="6" t="s">
        <v>702</v>
      </c>
      <c r="E54" s="7" t="s">
        <v>238</v>
      </c>
      <c r="F54" s="8" t="s">
        <v>813</v>
      </c>
      <c r="G54" s="6">
        <v>2</v>
      </c>
      <c r="H54" s="9" t="s">
        <v>608</v>
      </c>
      <c r="I54" s="3">
        <v>2</v>
      </c>
      <c r="J54" s="6" t="s">
        <v>654</v>
      </c>
      <c r="K54" s="6" t="s">
        <v>642</v>
      </c>
      <c r="L54" s="6" t="s">
        <v>814</v>
      </c>
      <c r="M54" s="8" t="s">
        <v>716</v>
      </c>
    </row>
    <row r="55" spans="1:13" ht="19.5" customHeight="1">
      <c r="A55" s="10" t="s">
        <v>815</v>
      </c>
      <c r="B55" s="11" t="s">
        <v>74</v>
      </c>
      <c r="C55" s="11" t="s">
        <v>652</v>
      </c>
      <c r="D55" s="11" t="s">
        <v>653</v>
      </c>
      <c r="E55" s="15" t="s">
        <v>257</v>
      </c>
      <c r="F55" s="12" t="s">
        <v>816</v>
      </c>
      <c r="G55" s="11">
        <v>3</v>
      </c>
      <c r="H55" s="9" t="s">
        <v>608</v>
      </c>
      <c r="I55" s="1">
        <v>3</v>
      </c>
      <c r="J55" s="11" t="s">
        <v>654</v>
      </c>
      <c r="K55" s="11" t="s">
        <v>642</v>
      </c>
      <c r="L55" s="11" t="s">
        <v>817</v>
      </c>
      <c r="M55" s="12" t="s">
        <v>785</v>
      </c>
    </row>
    <row r="56" spans="1:13" ht="19.5" customHeight="1">
      <c r="A56" s="13" t="s">
        <v>818</v>
      </c>
      <c r="B56" s="14" t="s">
        <v>74</v>
      </c>
      <c r="C56" s="14" t="s">
        <v>680</v>
      </c>
      <c r="D56" s="14" t="s">
        <v>639</v>
      </c>
      <c r="E56" s="15" t="s">
        <v>257</v>
      </c>
      <c r="F56" s="16" t="s">
        <v>819</v>
      </c>
      <c r="G56" s="14">
        <v>3</v>
      </c>
      <c r="H56" s="9" t="s">
        <v>608</v>
      </c>
      <c r="I56" s="1">
        <v>3</v>
      </c>
      <c r="J56" s="14" t="s">
        <v>649</v>
      </c>
      <c r="K56" s="14" t="s">
        <v>658</v>
      </c>
      <c r="L56" s="14" t="s">
        <v>820</v>
      </c>
      <c r="M56" s="16" t="s">
        <v>785</v>
      </c>
    </row>
    <row r="57" spans="1:13" ht="19.5" customHeight="1">
      <c r="A57" s="10" t="s">
        <v>821</v>
      </c>
      <c r="B57" s="11" t="s">
        <v>74</v>
      </c>
      <c r="C57" s="11" t="s">
        <v>709</v>
      </c>
      <c r="D57" s="11" t="s">
        <v>663</v>
      </c>
      <c r="E57" s="15" t="s">
        <v>257</v>
      </c>
      <c r="F57" s="12" t="s">
        <v>803</v>
      </c>
      <c r="G57" s="11">
        <v>3</v>
      </c>
      <c r="H57" s="9" t="s">
        <v>608</v>
      </c>
      <c r="I57" s="1">
        <v>3</v>
      </c>
      <c r="J57" s="11" t="s">
        <v>649</v>
      </c>
      <c r="K57" s="11" t="s">
        <v>686</v>
      </c>
      <c r="L57" s="11" t="s">
        <v>822</v>
      </c>
      <c r="M57" s="12" t="s">
        <v>716</v>
      </c>
    </row>
    <row r="58" spans="1:13" ht="19.5" customHeight="1">
      <c r="A58" s="5" t="s">
        <v>823</v>
      </c>
      <c r="B58" s="6" t="s">
        <v>84</v>
      </c>
      <c r="C58" s="6" t="s">
        <v>690</v>
      </c>
      <c r="D58" s="6" t="s">
        <v>691</v>
      </c>
      <c r="E58" s="7" t="s">
        <v>238</v>
      </c>
      <c r="F58" s="8" t="s">
        <v>824</v>
      </c>
      <c r="G58" s="6">
        <v>3</v>
      </c>
      <c r="H58" s="9" t="s">
        <v>611</v>
      </c>
      <c r="I58" s="1">
        <v>3</v>
      </c>
      <c r="J58" s="6" t="s">
        <v>654</v>
      </c>
      <c r="K58" s="6" t="s">
        <v>673</v>
      </c>
      <c r="L58" s="6" t="s">
        <v>825</v>
      </c>
      <c r="M58" s="8" t="s">
        <v>769</v>
      </c>
    </row>
    <row r="59" spans="1:13" ht="19.5" customHeight="1">
      <c r="A59" s="10" t="s">
        <v>826</v>
      </c>
      <c r="B59" s="11" t="s">
        <v>84</v>
      </c>
      <c r="C59" s="11" t="s">
        <v>701</v>
      </c>
      <c r="D59" s="11" t="s">
        <v>702</v>
      </c>
      <c r="E59" s="7" t="s">
        <v>238</v>
      </c>
      <c r="F59" s="12" t="s">
        <v>824</v>
      </c>
      <c r="G59" s="11">
        <v>3</v>
      </c>
      <c r="H59" s="9" t="s">
        <v>611</v>
      </c>
      <c r="I59" s="1">
        <v>3</v>
      </c>
      <c r="J59" s="11" t="s">
        <v>654</v>
      </c>
      <c r="K59" s="11" t="s">
        <v>673</v>
      </c>
      <c r="L59" s="11" t="s">
        <v>778</v>
      </c>
      <c r="M59" s="12" t="s">
        <v>769</v>
      </c>
    </row>
    <row r="60" spans="1:13" ht="19.5" customHeight="1">
      <c r="A60" s="13" t="s">
        <v>827</v>
      </c>
      <c r="B60" s="14" t="s">
        <v>84</v>
      </c>
      <c r="C60" s="14" t="s">
        <v>709</v>
      </c>
      <c r="D60" s="14" t="s">
        <v>663</v>
      </c>
      <c r="E60" s="15" t="s">
        <v>257</v>
      </c>
      <c r="F60" s="16" t="s">
        <v>828</v>
      </c>
      <c r="G60" s="14">
        <v>3</v>
      </c>
      <c r="H60" s="9" t="s">
        <v>611</v>
      </c>
      <c r="I60" s="1">
        <v>3</v>
      </c>
      <c r="J60" s="14" t="s">
        <v>649</v>
      </c>
      <c r="K60" s="14" t="s">
        <v>658</v>
      </c>
      <c r="L60" s="14" t="s">
        <v>829</v>
      </c>
      <c r="M60" s="16" t="s">
        <v>712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&amp;L&amp;"Aptos"&amp;12&amp;K800080 SC Classification:PUBLIC&amp;1#_x000D_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8DCD-DDFC-4123-A481-08B45089D09A}">
  <dimension ref="A1:AE27"/>
  <sheetViews>
    <sheetView zoomScale="70" zoomScaleNormal="70" workbookViewId="0">
      <selection activeCell="P21" sqref="P21"/>
    </sheetView>
  </sheetViews>
  <sheetFormatPr defaultRowHeight="15" customHeight="1"/>
  <cols>
    <col min="28" max="28" width="4.42578125" customWidth="1"/>
    <col min="29" max="29" width="15" customWidth="1"/>
    <col min="30" max="30" width="14.42578125" customWidth="1"/>
    <col min="31" max="31" width="19.5703125" customWidth="1"/>
  </cols>
  <sheetData>
    <row r="1" spans="1:31" ht="62.25" customHeight="1">
      <c r="A1" s="295" t="e" vm="1">
        <v>#VALUE!</v>
      </c>
      <c r="B1" s="295"/>
      <c r="C1" s="295"/>
      <c r="D1" s="296" t="s">
        <v>830</v>
      </c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7"/>
      <c r="AB1" s="298"/>
      <c r="AC1" s="126" t="s">
        <v>219</v>
      </c>
      <c r="AD1" s="127" t="s">
        <v>220</v>
      </c>
      <c r="AE1" s="128" t="s">
        <v>221</v>
      </c>
    </row>
    <row r="2" spans="1:31" ht="15.6">
      <c r="A2" s="129">
        <v>0.4375</v>
      </c>
      <c r="B2" s="130">
        <v>0.45833333333333331</v>
      </c>
      <c r="C2" s="131">
        <v>0.47916666666666669</v>
      </c>
      <c r="D2" s="131">
        <v>0.5</v>
      </c>
      <c r="E2" s="131">
        <v>0.52083333333333337</v>
      </c>
      <c r="F2" s="131">
        <v>0.54166666666666663</v>
      </c>
      <c r="G2" s="131">
        <v>0.5625</v>
      </c>
      <c r="H2" s="131">
        <v>0.58333333333333337</v>
      </c>
      <c r="I2" s="131">
        <v>0.60416666666666663</v>
      </c>
      <c r="J2" s="131">
        <v>0.625</v>
      </c>
      <c r="K2" s="132">
        <v>0.64583333333333337</v>
      </c>
      <c r="L2" s="131">
        <v>0.66666666666666663</v>
      </c>
      <c r="M2" s="131">
        <v>0.6875</v>
      </c>
      <c r="N2" s="131">
        <v>0.70833333333333337</v>
      </c>
      <c r="O2" s="133">
        <v>0.72916666666666663</v>
      </c>
      <c r="P2" s="131">
        <v>0.75</v>
      </c>
      <c r="Q2" s="131">
        <v>0.77083333333333337</v>
      </c>
      <c r="R2" s="131">
        <v>0.79166666666666663</v>
      </c>
      <c r="S2" s="131">
        <v>0.8125</v>
      </c>
      <c r="T2" s="131">
        <v>0.83333333333333337</v>
      </c>
      <c r="U2" s="131">
        <v>0.85416666666666663</v>
      </c>
      <c r="V2" s="131">
        <v>0.875</v>
      </c>
      <c r="W2" s="131">
        <v>0.89583333333333337</v>
      </c>
      <c r="X2" s="131">
        <v>0.91666666666666663</v>
      </c>
      <c r="Y2" s="131">
        <v>0.9375</v>
      </c>
      <c r="Z2" s="131">
        <v>0.95833333333333337</v>
      </c>
      <c r="AA2" s="134">
        <v>0.97916666666666663</v>
      </c>
      <c r="AB2" s="298"/>
      <c r="AC2" s="282">
        <v>0.45833333333333331</v>
      </c>
      <c r="AD2" s="282">
        <v>0.64583333333333337</v>
      </c>
      <c r="AE2" s="284">
        <v>0.83333333333333337</v>
      </c>
    </row>
    <row r="3" spans="1:31" ht="66" customHeight="1">
      <c r="A3" s="135"/>
      <c r="B3" s="136" t="s">
        <v>831</v>
      </c>
      <c r="D3" s="137" t="s">
        <v>832</v>
      </c>
      <c r="F3" s="135"/>
      <c r="G3" s="135" t="s">
        <v>833</v>
      </c>
      <c r="I3" s="135"/>
      <c r="J3" s="135"/>
      <c r="K3" s="138" t="s">
        <v>834</v>
      </c>
      <c r="L3" s="288" t="s">
        <v>835</v>
      </c>
      <c r="M3" s="289"/>
      <c r="N3" s="290"/>
      <c r="O3" s="139" t="s">
        <v>836</v>
      </c>
      <c r="P3" s="135"/>
      <c r="Q3" s="135" t="s">
        <v>837</v>
      </c>
      <c r="R3" s="135" t="s">
        <v>838</v>
      </c>
      <c r="S3" s="288" t="s">
        <v>839</v>
      </c>
      <c r="T3" s="290"/>
      <c r="U3" s="288"/>
      <c r="V3" s="289"/>
      <c r="W3" s="289"/>
      <c r="X3" s="289"/>
      <c r="Y3" s="289"/>
      <c r="Z3" s="289"/>
      <c r="AA3" s="291"/>
      <c r="AB3" s="298"/>
      <c r="AC3" s="283"/>
      <c r="AD3" s="283"/>
      <c r="AE3" s="285"/>
    </row>
    <row r="4" spans="1:31" ht="15.6">
      <c r="A4" s="129">
        <v>0.4375</v>
      </c>
      <c r="B4" s="140">
        <v>0.45833333333333331</v>
      </c>
      <c r="C4" s="130">
        <v>0.47916666666666669</v>
      </c>
      <c r="D4" s="131">
        <v>0.5</v>
      </c>
      <c r="E4" s="131">
        <v>0.52083333333333337</v>
      </c>
      <c r="F4" s="131">
        <v>0.54166666666666663</v>
      </c>
      <c r="G4" s="131">
        <v>0.5625</v>
      </c>
      <c r="H4" s="131">
        <v>0.58333333333333337</v>
      </c>
      <c r="I4" s="131">
        <v>0.60416666666666663</v>
      </c>
      <c r="J4" s="131">
        <v>0.625</v>
      </c>
      <c r="K4" s="131">
        <v>0.64583333333333337</v>
      </c>
      <c r="L4" s="132">
        <v>0.66666666666666663</v>
      </c>
      <c r="M4" s="131">
        <v>0.6875</v>
      </c>
      <c r="N4" s="134">
        <v>0.70833333333333337</v>
      </c>
      <c r="O4" s="141">
        <v>0.72916666666666663</v>
      </c>
      <c r="P4" s="142">
        <v>0.75</v>
      </c>
      <c r="Q4" s="131">
        <v>0.77083333333333337</v>
      </c>
      <c r="R4" s="131">
        <v>0.79166666666666663</v>
      </c>
      <c r="S4" s="131">
        <v>0.8125</v>
      </c>
      <c r="T4" s="131">
        <v>0.83333333333333337</v>
      </c>
      <c r="U4" s="131">
        <v>0.85416666666666663</v>
      </c>
      <c r="V4" s="131">
        <v>0.875</v>
      </c>
      <c r="W4" s="131">
        <v>0.89583333333333337</v>
      </c>
      <c r="X4" s="131">
        <v>0.91666666666666663</v>
      </c>
      <c r="Y4" s="131">
        <v>0.9375</v>
      </c>
      <c r="Z4" s="131">
        <v>0.95833333333333337</v>
      </c>
      <c r="AA4" s="134">
        <v>0.97916666666666663</v>
      </c>
      <c r="AB4" s="298"/>
      <c r="AC4" s="282">
        <v>0.47916666666666669</v>
      </c>
      <c r="AD4" s="282">
        <v>0.66666666666666663</v>
      </c>
      <c r="AE4" s="284">
        <v>0.85416666666666663</v>
      </c>
    </row>
    <row r="5" spans="1:31" ht="72">
      <c r="A5" s="288"/>
      <c r="B5" s="290"/>
      <c r="C5" s="136" t="s">
        <v>831</v>
      </c>
      <c r="D5" s="143"/>
      <c r="E5" s="144" t="s">
        <v>832</v>
      </c>
      <c r="F5" s="135"/>
      <c r="G5" s="143"/>
      <c r="H5" s="135" t="s">
        <v>833</v>
      </c>
      <c r="J5" s="135"/>
      <c r="K5" s="145"/>
      <c r="L5" s="138" t="s">
        <v>840</v>
      </c>
      <c r="M5" s="288" t="s">
        <v>835</v>
      </c>
      <c r="N5" s="289"/>
      <c r="O5" s="290"/>
      <c r="P5" s="146" t="s">
        <v>836</v>
      </c>
      <c r="Q5" s="143"/>
      <c r="R5" s="135" t="s">
        <v>837</v>
      </c>
      <c r="S5" s="135" t="s">
        <v>838</v>
      </c>
      <c r="T5" s="288" t="s">
        <v>839</v>
      </c>
      <c r="U5" s="290"/>
      <c r="V5" s="288"/>
      <c r="W5" s="289"/>
      <c r="X5" s="289"/>
      <c r="Y5" s="289"/>
      <c r="Z5" s="289"/>
      <c r="AA5" s="291"/>
      <c r="AB5" s="298"/>
      <c r="AC5" s="283"/>
      <c r="AD5" s="283"/>
      <c r="AE5" s="285"/>
    </row>
    <row r="6" spans="1:31" ht="15.6">
      <c r="A6" s="129">
        <v>0.4375</v>
      </c>
      <c r="B6" s="140">
        <v>0.45833333333333331</v>
      </c>
      <c r="C6" s="147">
        <v>0.47916666666666669</v>
      </c>
      <c r="D6" s="130">
        <v>0.5</v>
      </c>
      <c r="E6" s="131">
        <v>0.52083333333333337</v>
      </c>
      <c r="F6" s="131">
        <v>0.54166666666666663</v>
      </c>
      <c r="G6" s="131">
        <v>0.5625</v>
      </c>
      <c r="H6" s="131">
        <v>0.58333333333333337</v>
      </c>
      <c r="I6" s="131">
        <v>0.60416666666666663</v>
      </c>
      <c r="J6" s="131">
        <v>0.625</v>
      </c>
      <c r="K6" s="131">
        <v>0.64583333333333337</v>
      </c>
      <c r="L6" s="131">
        <v>0.66666666666666663</v>
      </c>
      <c r="M6" s="132">
        <v>0.6875</v>
      </c>
      <c r="N6" s="131">
        <v>0.70833333333333337</v>
      </c>
      <c r="O6" s="148">
        <v>0.72916666666666663</v>
      </c>
      <c r="P6" s="131">
        <v>0.75</v>
      </c>
      <c r="Q6" s="133">
        <v>0.77083333333333337</v>
      </c>
      <c r="R6" s="131">
        <v>0.79166666666666663</v>
      </c>
      <c r="S6" s="131">
        <v>0.8125</v>
      </c>
      <c r="T6" s="131">
        <v>0.83333333333333337</v>
      </c>
      <c r="U6" s="131">
        <v>0.85416666666666663</v>
      </c>
      <c r="V6" s="131">
        <v>0.875</v>
      </c>
      <c r="W6" s="131">
        <v>0.89583333333333337</v>
      </c>
      <c r="X6" s="131">
        <v>0.91666666666666663</v>
      </c>
      <c r="Y6" s="131">
        <v>0.9375</v>
      </c>
      <c r="Z6" s="131">
        <v>0.95833333333333337</v>
      </c>
      <c r="AA6" s="134">
        <v>0.97916666666666663</v>
      </c>
      <c r="AB6" s="298"/>
      <c r="AC6" s="282">
        <v>0.5</v>
      </c>
      <c r="AD6" s="282">
        <v>0.6875</v>
      </c>
      <c r="AE6" s="284">
        <v>0.875</v>
      </c>
    </row>
    <row r="7" spans="1:31" ht="72">
      <c r="A7" s="292"/>
      <c r="B7" s="293"/>
      <c r="C7" s="294"/>
      <c r="D7" s="136" t="s">
        <v>831</v>
      </c>
      <c r="E7" s="135"/>
      <c r="F7" s="144" t="s">
        <v>832</v>
      </c>
      <c r="G7" s="149"/>
      <c r="H7" s="135"/>
      <c r="I7" s="135" t="s">
        <v>833</v>
      </c>
      <c r="K7" s="145"/>
      <c r="L7" s="135"/>
      <c r="M7" s="138" t="s">
        <v>841</v>
      </c>
      <c r="N7" s="288" t="s">
        <v>835</v>
      </c>
      <c r="O7" s="289"/>
      <c r="P7" s="290"/>
      <c r="Q7" s="146" t="s">
        <v>836</v>
      </c>
      <c r="R7" s="149"/>
      <c r="S7" s="135" t="s">
        <v>837</v>
      </c>
      <c r="T7" s="135" t="s">
        <v>838</v>
      </c>
      <c r="U7" s="288" t="s">
        <v>839</v>
      </c>
      <c r="V7" s="290"/>
      <c r="W7" s="288"/>
      <c r="X7" s="289"/>
      <c r="Y7" s="289"/>
      <c r="Z7" s="289"/>
      <c r="AA7" s="291"/>
      <c r="AB7" s="298"/>
      <c r="AC7" s="283"/>
      <c r="AD7" s="283"/>
      <c r="AE7" s="285"/>
    </row>
    <row r="8" spans="1:31" ht="15.6">
      <c r="A8" s="129">
        <v>0.4375</v>
      </c>
      <c r="B8" s="140">
        <v>0.45833333333333331</v>
      </c>
      <c r="C8" s="147">
        <v>0.47916666666666669</v>
      </c>
      <c r="D8" s="129">
        <v>0.5</v>
      </c>
      <c r="E8" s="130">
        <v>0.52083333333333337</v>
      </c>
      <c r="F8" s="131">
        <v>0.54166666666666663</v>
      </c>
      <c r="G8" s="131">
        <v>0.5625</v>
      </c>
      <c r="H8" s="131">
        <v>0.58333333333333337</v>
      </c>
      <c r="I8" s="131">
        <v>0.60416666666666663</v>
      </c>
      <c r="J8" s="131">
        <v>0.625</v>
      </c>
      <c r="K8" s="131">
        <v>0.64583333333333337</v>
      </c>
      <c r="L8" s="131">
        <v>0.66666666666666663</v>
      </c>
      <c r="M8" s="131">
        <v>0.6875</v>
      </c>
      <c r="N8" s="132">
        <v>0.70833333333333337</v>
      </c>
      <c r="O8" s="148">
        <v>0.72916666666666663</v>
      </c>
      <c r="P8" s="131">
        <v>0.75</v>
      </c>
      <c r="Q8" s="131">
        <v>0.77083333333333337</v>
      </c>
      <c r="R8" s="133">
        <v>0.79166666666666663</v>
      </c>
      <c r="S8" s="131">
        <v>0.8125</v>
      </c>
      <c r="T8" s="131">
        <v>0.83333333333333337</v>
      </c>
      <c r="U8" s="131">
        <v>0.85416666666666663</v>
      </c>
      <c r="V8" s="131">
        <v>0.875</v>
      </c>
      <c r="W8" s="131">
        <v>0.89583333333333337</v>
      </c>
      <c r="X8" s="131">
        <v>0.91666666666666663</v>
      </c>
      <c r="Y8" s="131">
        <v>0.9375</v>
      </c>
      <c r="Z8" s="131">
        <v>0.95833333333333337</v>
      </c>
      <c r="AA8" s="134">
        <v>0.97916666666666663</v>
      </c>
      <c r="AB8" s="298"/>
      <c r="AC8" s="282">
        <v>0.52083333333333337</v>
      </c>
      <c r="AD8" s="282">
        <v>0.70833333333333337</v>
      </c>
      <c r="AE8" s="284">
        <v>0.89583333333333337</v>
      </c>
    </row>
    <row r="9" spans="1:31" ht="72">
      <c r="A9" s="292"/>
      <c r="B9" s="293"/>
      <c r="C9" s="293"/>
      <c r="D9" s="294"/>
      <c r="E9" s="136" t="s">
        <v>831</v>
      </c>
      <c r="F9" s="135"/>
      <c r="G9" s="144" t="s">
        <v>832</v>
      </c>
      <c r="H9" s="135"/>
      <c r="I9" s="135"/>
      <c r="J9" s="135" t="s">
        <v>833</v>
      </c>
      <c r="L9" s="135"/>
      <c r="M9" s="135"/>
      <c r="N9" s="138" t="s">
        <v>842</v>
      </c>
      <c r="O9" s="288" t="s">
        <v>835</v>
      </c>
      <c r="P9" s="289"/>
      <c r="Q9" s="290"/>
      <c r="R9" s="146" t="s">
        <v>836</v>
      </c>
      <c r="S9" s="135"/>
      <c r="T9" s="135" t="s">
        <v>837</v>
      </c>
      <c r="U9" s="135" t="s">
        <v>838</v>
      </c>
      <c r="V9" s="288" t="s">
        <v>839</v>
      </c>
      <c r="W9" s="290"/>
      <c r="X9" s="288"/>
      <c r="Y9" s="289"/>
      <c r="Z9" s="289"/>
      <c r="AA9" s="291"/>
      <c r="AB9" s="298"/>
      <c r="AC9" s="283"/>
      <c r="AD9" s="283"/>
      <c r="AE9" s="285"/>
    </row>
    <row r="10" spans="1:31" ht="15.6">
      <c r="A10" s="129">
        <v>0.4375</v>
      </c>
      <c r="B10" s="140">
        <v>0.45833333333333331</v>
      </c>
      <c r="C10" s="147">
        <v>0.47916666666666669</v>
      </c>
      <c r="D10" s="147">
        <v>0.5</v>
      </c>
      <c r="E10" s="147">
        <v>0.52083333333333337</v>
      </c>
      <c r="F10" s="130">
        <v>0.54166666666666663</v>
      </c>
      <c r="G10" s="131">
        <v>0.5625</v>
      </c>
      <c r="H10" s="131">
        <v>0.58333333333333337</v>
      </c>
      <c r="I10" s="131">
        <v>0.60416666666666663</v>
      </c>
      <c r="J10" s="131">
        <v>0.625</v>
      </c>
      <c r="K10" s="131">
        <v>0.64583333333333337</v>
      </c>
      <c r="L10" s="131">
        <v>0.66666666666666663</v>
      </c>
      <c r="M10" s="131">
        <v>0.6875</v>
      </c>
      <c r="N10" s="134">
        <v>0.70833333333333337</v>
      </c>
      <c r="O10" s="150">
        <v>0.72916666666666663</v>
      </c>
      <c r="P10" s="151">
        <v>0.75</v>
      </c>
      <c r="Q10" s="131">
        <v>0.77083333333333337</v>
      </c>
      <c r="R10" s="131">
        <v>0.79166666666666663</v>
      </c>
      <c r="S10" s="133">
        <v>0.8125</v>
      </c>
      <c r="T10" s="131">
        <v>0.83333333333333337</v>
      </c>
      <c r="U10" s="131">
        <v>0.85416666666666663</v>
      </c>
      <c r="V10" s="131">
        <v>0.875</v>
      </c>
      <c r="W10" s="131">
        <v>0.89583333333333337</v>
      </c>
      <c r="X10" s="131">
        <v>0.91666666666666663</v>
      </c>
      <c r="Y10" s="131">
        <v>0.9375</v>
      </c>
      <c r="Z10" s="131">
        <v>0.95833333333333337</v>
      </c>
      <c r="AA10" s="134">
        <v>0.97916666666666663</v>
      </c>
      <c r="AB10" s="298"/>
      <c r="AC10" s="282">
        <v>0.54166666666666663</v>
      </c>
      <c r="AD10" s="282">
        <v>0.72916666666666663</v>
      </c>
      <c r="AE10" s="284">
        <v>0.91666666666666663</v>
      </c>
    </row>
    <row r="11" spans="1:31" ht="72">
      <c r="A11" s="292"/>
      <c r="B11" s="293"/>
      <c r="C11" s="293"/>
      <c r="D11" s="293"/>
      <c r="E11" s="294"/>
      <c r="F11" s="136" t="s">
        <v>831</v>
      </c>
      <c r="G11" s="143"/>
      <c r="H11" s="144" t="s">
        <v>832</v>
      </c>
      <c r="I11" s="135"/>
      <c r="J11" s="145"/>
      <c r="K11" s="135" t="s">
        <v>833</v>
      </c>
      <c r="M11" s="135"/>
      <c r="N11" s="135"/>
      <c r="O11" s="152" t="s">
        <v>843</v>
      </c>
      <c r="P11" s="288" t="s">
        <v>835</v>
      </c>
      <c r="Q11" s="289"/>
      <c r="R11" s="290"/>
      <c r="S11" s="146" t="s">
        <v>836</v>
      </c>
      <c r="T11" s="135"/>
      <c r="U11" s="135" t="s">
        <v>837</v>
      </c>
      <c r="V11" s="135" t="s">
        <v>844</v>
      </c>
      <c r="W11" s="288" t="s">
        <v>839</v>
      </c>
      <c r="X11" s="290"/>
      <c r="Y11" s="288"/>
      <c r="Z11" s="289"/>
      <c r="AA11" s="291"/>
      <c r="AB11" s="298"/>
      <c r="AC11" s="283"/>
      <c r="AD11" s="283"/>
      <c r="AE11" s="285"/>
    </row>
    <row r="12" spans="1:31" ht="15.6">
      <c r="A12" s="129">
        <v>0.4375</v>
      </c>
      <c r="B12" s="140">
        <v>0.45833333333333331</v>
      </c>
      <c r="C12" s="147">
        <v>0.47916666666666669</v>
      </c>
      <c r="D12" s="147">
        <v>0.5</v>
      </c>
      <c r="E12" s="147">
        <v>0.52083333333333337</v>
      </c>
      <c r="F12" s="147">
        <v>0.54166666666666663</v>
      </c>
      <c r="G12" s="130">
        <v>0.5625</v>
      </c>
      <c r="H12" s="131">
        <v>0.58333333333333337</v>
      </c>
      <c r="I12" s="131">
        <v>0.60416666666666663</v>
      </c>
      <c r="J12" s="131">
        <v>0.625</v>
      </c>
      <c r="K12" s="131">
        <v>0.64583333333333337</v>
      </c>
      <c r="L12" s="131">
        <v>0.66666666666666663</v>
      </c>
      <c r="M12" s="131">
        <v>0.6875</v>
      </c>
      <c r="N12" s="131">
        <v>0.70833333333333337</v>
      </c>
      <c r="O12" s="148">
        <v>0.72916666666666663</v>
      </c>
      <c r="P12" s="132">
        <v>0.75</v>
      </c>
      <c r="Q12" s="131">
        <v>0.77083333333333337</v>
      </c>
      <c r="R12" s="131">
        <v>0.79166666666666663</v>
      </c>
      <c r="S12" s="131">
        <v>0.8125</v>
      </c>
      <c r="T12" s="133">
        <v>0.83333333333333337</v>
      </c>
      <c r="U12" s="131">
        <v>0.85416666666666663</v>
      </c>
      <c r="V12" s="131">
        <v>0.875</v>
      </c>
      <c r="W12" s="131">
        <v>0.89583333333333337</v>
      </c>
      <c r="X12" s="131">
        <v>0.91666666666666663</v>
      </c>
      <c r="Y12" s="131">
        <v>0.9375</v>
      </c>
      <c r="Z12" s="131">
        <v>0.95833333333333337</v>
      </c>
      <c r="AA12" s="134">
        <v>0.97916666666666663</v>
      </c>
      <c r="AB12" s="298"/>
      <c r="AC12" s="282">
        <v>0.5625</v>
      </c>
      <c r="AD12" s="282">
        <v>0.75</v>
      </c>
      <c r="AE12" s="284">
        <v>0.9375</v>
      </c>
    </row>
    <row r="13" spans="1:31" ht="72">
      <c r="A13" s="292"/>
      <c r="B13" s="293"/>
      <c r="C13" s="293"/>
      <c r="D13" s="293"/>
      <c r="E13" s="293"/>
      <c r="F13" s="294"/>
      <c r="G13" s="136" t="s">
        <v>831</v>
      </c>
      <c r="H13" s="135"/>
      <c r="I13" s="144" t="s">
        <v>832</v>
      </c>
      <c r="J13" s="145"/>
      <c r="K13" s="135"/>
      <c r="L13" s="135" t="s">
        <v>833</v>
      </c>
      <c r="N13" s="135"/>
      <c r="O13" s="149"/>
      <c r="P13" s="138" t="s">
        <v>845</v>
      </c>
      <c r="Q13" s="288" t="s">
        <v>835</v>
      </c>
      <c r="R13" s="289"/>
      <c r="S13" s="290"/>
      <c r="T13" s="146" t="s">
        <v>836</v>
      </c>
      <c r="U13" s="135"/>
      <c r="V13" s="135" t="s">
        <v>837</v>
      </c>
      <c r="W13" s="135" t="s">
        <v>844</v>
      </c>
      <c r="X13" s="288" t="s">
        <v>839</v>
      </c>
      <c r="Y13" s="290"/>
      <c r="Z13" s="288"/>
      <c r="AA13" s="291"/>
      <c r="AB13" s="298"/>
      <c r="AC13" s="283"/>
      <c r="AD13" s="283"/>
      <c r="AE13" s="285"/>
    </row>
    <row r="14" spans="1:31" ht="15.6">
      <c r="A14" s="129">
        <v>0.4375</v>
      </c>
      <c r="B14" s="140">
        <v>0.45833333333333331</v>
      </c>
      <c r="C14" s="147">
        <v>0.47916666666666669</v>
      </c>
      <c r="D14" s="147">
        <v>0.5</v>
      </c>
      <c r="E14" s="147">
        <v>0.52083333333333337</v>
      </c>
      <c r="F14" s="147">
        <v>0.54166666666666663</v>
      </c>
      <c r="G14" s="147">
        <v>0.5625</v>
      </c>
      <c r="H14" s="130">
        <v>0.58333333333333337</v>
      </c>
      <c r="I14" s="131">
        <v>0.60416666666666663</v>
      </c>
      <c r="J14" s="131">
        <v>0.625</v>
      </c>
      <c r="K14" s="131">
        <v>0.64583333333333337</v>
      </c>
      <c r="L14" s="131">
        <v>0.66666666666666663</v>
      </c>
      <c r="M14" s="131">
        <v>0.6875</v>
      </c>
      <c r="N14" s="131">
        <v>0.70833333333333337</v>
      </c>
      <c r="O14" s="148">
        <v>0.72916666666666663</v>
      </c>
      <c r="P14" s="131">
        <v>0.75</v>
      </c>
      <c r="Q14" s="132">
        <v>0.77083333333333337</v>
      </c>
      <c r="R14" s="131">
        <v>0.79166666666666663</v>
      </c>
      <c r="S14" s="131">
        <v>0.8125</v>
      </c>
      <c r="T14" s="131">
        <v>0.83333333333333337</v>
      </c>
      <c r="U14" s="133">
        <v>0.85416666666666663</v>
      </c>
      <c r="V14" s="131">
        <v>0.875</v>
      </c>
      <c r="W14" s="131">
        <v>0.89583333333333337</v>
      </c>
      <c r="X14" s="131">
        <v>0.91666666666666663</v>
      </c>
      <c r="Y14" s="131">
        <v>0.9375</v>
      </c>
      <c r="Z14" s="131">
        <v>0.95833333333333337</v>
      </c>
      <c r="AA14" s="134">
        <v>0.97916666666666663</v>
      </c>
      <c r="AB14" s="298"/>
      <c r="AC14" s="282">
        <v>0.58333333333333337</v>
      </c>
      <c r="AD14" s="282">
        <v>0.77083333333333337</v>
      </c>
      <c r="AE14" s="284">
        <v>0.95833333333333337</v>
      </c>
    </row>
    <row r="15" spans="1:31" ht="72">
      <c r="A15" s="292"/>
      <c r="B15" s="293"/>
      <c r="C15" s="293"/>
      <c r="D15" s="293"/>
      <c r="E15" s="293"/>
      <c r="F15" s="293"/>
      <c r="G15" s="294"/>
      <c r="H15" s="136" t="s">
        <v>831</v>
      </c>
      <c r="I15" s="153"/>
      <c r="J15" s="144" t="s">
        <v>832</v>
      </c>
      <c r="K15" s="135"/>
      <c r="L15" s="153"/>
      <c r="M15" s="135" t="s">
        <v>833</v>
      </c>
      <c r="O15" s="149"/>
      <c r="P15" s="153"/>
      <c r="Q15" s="154" t="s">
        <v>845</v>
      </c>
      <c r="R15" s="288" t="s">
        <v>835</v>
      </c>
      <c r="S15" s="289"/>
      <c r="T15" s="290"/>
      <c r="U15" s="146" t="s">
        <v>836</v>
      </c>
      <c r="V15" s="153"/>
      <c r="W15" s="135" t="s">
        <v>837</v>
      </c>
      <c r="X15" s="135" t="s">
        <v>844</v>
      </c>
      <c r="Y15" s="288" t="s">
        <v>839</v>
      </c>
      <c r="Z15" s="290"/>
      <c r="AA15" s="155"/>
      <c r="AB15" s="298"/>
      <c r="AC15" s="283"/>
      <c r="AD15" s="283"/>
      <c r="AE15" s="285"/>
    </row>
    <row r="16" spans="1:31" s="160" customFormat="1" ht="20.25" customHeight="1">
      <c r="A16" s="156">
        <v>0.4375</v>
      </c>
      <c r="B16" s="157">
        <v>0.45833333333333331</v>
      </c>
      <c r="C16" s="158">
        <v>0.47916666666666669</v>
      </c>
      <c r="D16" s="158">
        <v>0.5</v>
      </c>
      <c r="E16" s="158">
        <v>0.52083333333333337</v>
      </c>
      <c r="F16" s="158">
        <v>0.54166666666666663</v>
      </c>
      <c r="G16" s="158">
        <v>0.5625</v>
      </c>
      <c r="H16" s="159">
        <v>0.58333333333333337</v>
      </c>
      <c r="I16" s="130">
        <v>0.60416666666666663</v>
      </c>
      <c r="J16" s="131">
        <v>0.625</v>
      </c>
      <c r="K16" s="131">
        <v>0.64583333333333337</v>
      </c>
      <c r="L16" s="131">
        <v>0.66666666666666663</v>
      </c>
      <c r="M16" s="131">
        <v>0.6875</v>
      </c>
      <c r="N16" s="131">
        <v>0.70833333333333337</v>
      </c>
      <c r="O16" s="148">
        <v>0.72916666666666663</v>
      </c>
      <c r="P16" s="131">
        <v>0.75</v>
      </c>
      <c r="Q16" s="131">
        <v>0.77083333333333337</v>
      </c>
      <c r="R16" s="132">
        <v>0.79166666666666663</v>
      </c>
      <c r="S16" s="131">
        <v>0.8125</v>
      </c>
      <c r="T16" s="131">
        <v>0.83333333333333337</v>
      </c>
      <c r="U16" s="131">
        <v>0.85416666666666663</v>
      </c>
      <c r="V16" s="133">
        <v>0.875</v>
      </c>
      <c r="W16" s="131">
        <v>0.89583333333333337</v>
      </c>
      <c r="X16" s="131">
        <v>0.91666666666666663</v>
      </c>
      <c r="Y16" s="131">
        <v>0.9375</v>
      </c>
      <c r="Z16" s="131">
        <v>0.95833333333333337</v>
      </c>
      <c r="AA16" s="134">
        <v>0.97916666666666663</v>
      </c>
      <c r="AB16" s="298"/>
      <c r="AC16" s="282">
        <v>0.60416666666666663</v>
      </c>
      <c r="AD16" s="282">
        <v>0.79166666666666663</v>
      </c>
      <c r="AE16" s="284">
        <v>0.97916666666666663</v>
      </c>
    </row>
    <row r="17" spans="1:31" ht="72">
      <c r="A17" s="286"/>
      <c r="B17" s="287"/>
      <c r="C17" s="287"/>
      <c r="D17" s="287"/>
      <c r="E17" s="287"/>
      <c r="F17" s="287"/>
      <c r="G17" s="287"/>
      <c r="H17" s="287"/>
      <c r="I17" s="161" t="s">
        <v>831</v>
      </c>
      <c r="J17" s="145"/>
      <c r="K17" s="144" t="s">
        <v>832</v>
      </c>
      <c r="L17" s="162"/>
      <c r="M17" s="135"/>
      <c r="N17" s="155" t="s">
        <v>833</v>
      </c>
      <c r="O17" s="163"/>
      <c r="P17" s="164"/>
      <c r="Q17" s="165"/>
      <c r="R17" s="154" t="s">
        <v>845</v>
      </c>
      <c r="S17" s="288" t="s">
        <v>835</v>
      </c>
      <c r="T17" s="289"/>
      <c r="U17" s="290"/>
      <c r="V17" s="146" t="s">
        <v>836</v>
      </c>
      <c r="W17" s="162"/>
      <c r="X17" s="135" t="s">
        <v>837</v>
      </c>
      <c r="Y17" s="135" t="s">
        <v>844</v>
      </c>
      <c r="Z17" s="288" t="s">
        <v>839</v>
      </c>
      <c r="AA17" s="291"/>
      <c r="AB17" s="298"/>
      <c r="AC17" s="283"/>
      <c r="AD17" s="283"/>
      <c r="AE17" s="285"/>
    </row>
    <row r="18" spans="1:31" ht="42" customHeight="1">
      <c r="A18" s="279" t="s">
        <v>218</v>
      </c>
      <c r="B18" s="279"/>
      <c r="C18" s="280"/>
      <c r="D18" s="281" t="s">
        <v>219</v>
      </c>
      <c r="E18" s="257"/>
      <c r="F18" s="257"/>
      <c r="G18" s="258" t="s">
        <v>220</v>
      </c>
      <c r="H18" s="258"/>
      <c r="I18" s="258"/>
      <c r="J18" s="259" t="s">
        <v>221</v>
      </c>
      <c r="K18" s="259"/>
      <c r="L18" s="260"/>
    </row>
    <row r="19" spans="1:31" ht="15.6">
      <c r="A19" s="262">
        <v>1</v>
      </c>
      <c r="B19" s="271">
        <v>0.45833333333333331</v>
      </c>
      <c r="C19" s="265"/>
      <c r="D19" s="266">
        <v>0.45833333333333331</v>
      </c>
      <c r="E19" s="267"/>
      <c r="F19" s="267"/>
      <c r="G19" s="268">
        <v>0.64583333333333337</v>
      </c>
      <c r="H19" s="268"/>
      <c r="I19" s="268"/>
      <c r="J19" s="269">
        <v>0.83333333333333337</v>
      </c>
      <c r="K19" s="269"/>
      <c r="L19" s="270"/>
    </row>
    <row r="20" spans="1:31" ht="15.6">
      <c r="A20" s="262"/>
      <c r="B20" s="265"/>
      <c r="C20" s="265"/>
      <c r="D20" s="266">
        <v>0.47916666666666669</v>
      </c>
      <c r="E20" s="267"/>
      <c r="F20" s="267"/>
      <c r="G20" s="268">
        <v>0.66666666666666663</v>
      </c>
      <c r="H20" s="268"/>
      <c r="I20" s="268"/>
      <c r="J20" s="269">
        <v>0.85416666666666663</v>
      </c>
      <c r="K20" s="269"/>
      <c r="L20" s="270"/>
    </row>
    <row r="21" spans="1:31" ht="15.6">
      <c r="A21" s="262">
        <v>2</v>
      </c>
      <c r="B21" s="271">
        <v>0.5</v>
      </c>
      <c r="C21" s="265"/>
      <c r="D21" s="266">
        <v>0.5</v>
      </c>
      <c r="E21" s="267"/>
      <c r="F21" s="267"/>
      <c r="G21" s="268">
        <v>0.6875</v>
      </c>
      <c r="H21" s="268"/>
      <c r="I21" s="268"/>
      <c r="J21" s="269">
        <v>0.875</v>
      </c>
      <c r="K21" s="269"/>
      <c r="L21" s="270"/>
    </row>
    <row r="22" spans="1:31" ht="15.6">
      <c r="A22" s="262"/>
      <c r="B22" s="265"/>
      <c r="C22" s="265"/>
      <c r="D22" s="266">
        <v>0.52083333333333337</v>
      </c>
      <c r="E22" s="267"/>
      <c r="F22" s="267"/>
      <c r="G22" s="268">
        <v>0.70833333333333337</v>
      </c>
      <c r="H22" s="268"/>
      <c r="I22" s="268"/>
      <c r="J22" s="269">
        <v>0.89583333333333337</v>
      </c>
      <c r="K22" s="269"/>
      <c r="L22" s="270"/>
    </row>
    <row r="23" spans="1:31" ht="15.6">
      <c r="A23" s="262">
        <v>3</v>
      </c>
      <c r="B23" s="271">
        <v>0.54166666666666663</v>
      </c>
      <c r="C23" s="265"/>
      <c r="D23" s="266">
        <v>0.54166666666666663</v>
      </c>
      <c r="E23" s="267"/>
      <c r="F23" s="267"/>
      <c r="G23" s="268">
        <v>0.72916666666666663</v>
      </c>
      <c r="H23" s="268"/>
      <c r="I23" s="268"/>
      <c r="J23" s="269">
        <v>0.91666666666666663</v>
      </c>
      <c r="K23" s="269"/>
      <c r="L23" s="270"/>
    </row>
    <row r="24" spans="1:31" ht="15.6">
      <c r="A24" s="262"/>
      <c r="B24" s="265"/>
      <c r="C24" s="265"/>
      <c r="D24" s="266">
        <v>0.5625</v>
      </c>
      <c r="E24" s="267"/>
      <c r="F24" s="267"/>
      <c r="G24" s="268">
        <v>0.75</v>
      </c>
      <c r="H24" s="268"/>
      <c r="I24" s="268"/>
      <c r="J24" s="269">
        <v>0.9375</v>
      </c>
      <c r="K24" s="269"/>
      <c r="L24" s="270"/>
    </row>
    <row r="25" spans="1:31" ht="15.6">
      <c r="A25" s="262">
        <v>4</v>
      </c>
      <c r="B25" s="271">
        <v>0.58333333333333337</v>
      </c>
      <c r="C25" s="265"/>
      <c r="D25" s="266">
        <v>0.58333333333333337</v>
      </c>
      <c r="E25" s="267"/>
      <c r="F25" s="267"/>
      <c r="G25" s="268">
        <v>0.77083333333333337</v>
      </c>
      <c r="H25" s="268"/>
      <c r="I25" s="268"/>
      <c r="J25" s="269">
        <v>0.95833333333333337</v>
      </c>
      <c r="K25" s="269"/>
      <c r="L25" s="270"/>
    </row>
    <row r="26" spans="1:31" ht="16.5" customHeight="1">
      <c r="A26" s="262"/>
      <c r="B26" s="265"/>
      <c r="C26" s="265"/>
      <c r="D26" s="266">
        <v>0.60416666666666663</v>
      </c>
      <c r="E26" s="267"/>
      <c r="F26" s="267"/>
      <c r="G26" s="268">
        <v>0.79166666666666663</v>
      </c>
      <c r="H26" s="268"/>
      <c r="I26" s="268"/>
      <c r="J26" s="269">
        <v>0.97916666666666663</v>
      </c>
      <c r="K26" s="269"/>
      <c r="L26" s="270"/>
    </row>
    <row r="27" spans="1:31" ht="14.45"/>
  </sheetData>
  <mergeCells count="92">
    <mergeCell ref="AE2:AE3"/>
    <mergeCell ref="L3:N3"/>
    <mergeCell ref="S3:T3"/>
    <mergeCell ref="U3:AA3"/>
    <mergeCell ref="AC4:AC5"/>
    <mergeCell ref="AE4:AE5"/>
    <mergeCell ref="A1:C1"/>
    <mergeCell ref="D1:AA1"/>
    <mergeCell ref="AB1:AB17"/>
    <mergeCell ref="AC2:AC3"/>
    <mergeCell ref="AD2:AD3"/>
    <mergeCell ref="AD4:AD5"/>
    <mergeCell ref="A5:B5"/>
    <mergeCell ref="M5:O5"/>
    <mergeCell ref="T5:U5"/>
    <mergeCell ref="V5:AA5"/>
    <mergeCell ref="AC6:AC7"/>
    <mergeCell ref="AD6:AD7"/>
    <mergeCell ref="AC8:AC9"/>
    <mergeCell ref="AD8:AD9"/>
    <mergeCell ref="AC10:AC11"/>
    <mergeCell ref="AD10:AD11"/>
    <mergeCell ref="AE6:AE7"/>
    <mergeCell ref="A7:C7"/>
    <mergeCell ref="N7:P7"/>
    <mergeCell ref="U7:V7"/>
    <mergeCell ref="W7:AA7"/>
    <mergeCell ref="AE8:AE9"/>
    <mergeCell ref="A9:D9"/>
    <mergeCell ref="O9:Q9"/>
    <mergeCell ref="V9:W9"/>
    <mergeCell ref="X9:AA9"/>
    <mergeCell ref="AE10:AE11"/>
    <mergeCell ref="A11:E11"/>
    <mergeCell ref="P11:R11"/>
    <mergeCell ref="W11:X11"/>
    <mergeCell ref="Y11:AA11"/>
    <mergeCell ref="AC12:AC13"/>
    <mergeCell ref="AD12:AD13"/>
    <mergeCell ref="AE12:AE13"/>
    <mergeCell ref="A13:F13"/>
    <mergeCell ref="Q13:S13"/>
    <mergeCell ref="X13:Y13"/>
    <mergeCell ref="Z13:AA13"/>
    <mergeCell ref="AC14:AC15"/>
    <mergeCell ref="AD14:AD15"/>
    <mergeCell ref="AE14:AE15"/>
    <mergeCell ref="A15:G15"/>
    <mergeCell ref="R15:T15"/>
    <mergeCell ref="Y15:Z15"/>
    <mergeCell ref="AC16:AC17"/>
    <mergeCell ref="AD16:AD17"/>
    <mergeCell ref="AE16:AE17"/>
    <mergeCell ref="A17:H17"/>
    <mergeCell ref="S17:U17"/>
    <mergeCell ref="Z17:AA17"/>
    <mergeCell ref="A18:C18"/>
    <mergeCell ref="D18:F18"/>
    <mergeCell ref="G18:I18"/>
    <mergeCell ref="J18:L18"/>
    <mergeCell ref="A19:A20"/>
    <mergeCell ref="B19:C20"/>
    <mergeCell ref="D19:F19"/>
    <mergeCell ref="G19:I19"/>
    <mergeCell ref="J19:L19"/>
    <mergeCell ref="D20:F20"/>
    <mergeCell ref="G20:I20"/>
    <mergeCell ref="J20:L20"/>
    <mergeCell ref="A21:A22"/>
    <mergeCell ref="B21:C22"/>
    <mergeCell ref="D21:F21"/>
    <mergeCell ref="G21:I21"/>
    <mergeCell ref="J21:L21"/>
    <mergeCell ref="D22:F22"/>
    <mergeCell ref="G22:I22"/>
    <mergeCell ref="J22:L22"/>
    <mergeCell ref="A23:A24"/>
    <mergeCell ref="B23:C24"/>
    <mergeCell ref="D23:F23"/>
    <mergeCell ref="G23:I23"/>
    <mergeCell ref="J23:L23"/>
    <mergeCell ref="D24:F24"/>
    <mergeCell ref="G24:I24"/>
    <mergeCell ref="J24:L24"/>
    <mergeCell ref="A25:A26"/>
    <mergeCell ref="B25:C26"/>
    <mergeCell ref="D25:F25"/>
    <mergeCell ref="G25:I25"/>
    <mergeCell ref="J25:L25"/>
    <mergeCell ref="D26:F26"/>
    <mergeCell ref="G26:I26"/>
    <mergeCell ref="J26:L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D6D9D0D9C0247BB1867E9A13E2B69" ma:contentTypeVersion="24" ma:contentTypeDescription="Create a new document." ma:contentTypeScope="" ma:versionID="2045bdbf2cc4b8872553fdbb168a27a6">
  <xsd:schema xmlns:xsd="http://www.w3.org/2001/XMLSchema" xmlns:xs="http://www.w3.org/2001/XMLSchema" xmlns:p="http://schemas.microsoft.com/office/2006/metadata/properties" xmlns:ns2="fa05441b-7993-42c4-a80c-78179071fa11" xmlns:ns3="c7eb465c-0060-4b28-a47a-92c322dbb075" targetNamespace="http://schemas.microsoft.com/office/2006/metadata/properties" ma:root="true" ma:fieldsID="f057b0b9ea8260bcd3160bf483d6929c" ns2:_="" ns3:_="">
    <xsd:import namespace="fa05441b-7993-42c4-a80c-78179071fa11"/>
    <xsd:import namespace="c7eb465c-0060-4b28-a47a-92c322dbb0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Permis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5441b-7993-42c4-a80c-78179071f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3c16f8c-67f9-44bd-8484-a60bdff8e4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7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Permissions" ma:index="28" nillable="true" ma:displayName="Permissions" ma:format="Dropdown" ma:list="UserInfo" ma:SharePointGroup="0" ma:internalName="Permission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b465c-0060-4b28-a47a-92c322dbb07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f624dc3-0060-44db-8e9a-1fe678c53584}" ma:internalName="TaxCatchAll" ma:showField="CatchAllData" ma:web="c7eb465c-0060-4b28-a47a-92c322dbb0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05441b-7993-42c4-a80c-78179071fa11">
      <Terms xmlns="http://schemas.microsoft.com/office/infopath/2007/PartnerControls"/>
    </lcf76f155ced4ddcb4097134ff3c332f>
    <TaxCatchAll xmlns="c7eb465c-0060-4b28-a47a-92c322dbb075" xsi:nil="true"/>
    <Permissions xmlns="fa05441b-7993-42c4-a80c-78179071fa11">
      <UserInfo>
        <DisplayName/>
        <AccountId xsi:nil="true"/>
        <AccountType/>
      </UserInfo>
    </Permissions>
    <Comments xmlns="fa05441b-7993-42c4-a80c-78179071fa11" xsi:nil="true"/>
    <_Flow_SignoffStatus xmlns="fa05441b-7993-42c4-a80c-78179071f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C201AA-7922-4BC5-916E-8B78AFEE12CA}"/>
</file>

<file path=customXml/itemProps2.xml><?xml version="1.0" encoding="utf-8"?>
<ds:datastoreItem xmlns:ds="http://schemas.openxmlformats.org/officeDocument/2006/customXml" ds:itemID="{AC5874B3-350D-47D3-B2C6-E35EBF3F54F3}"/>
</file>

<file path=customXml/itemProps3.xml><?xml version="1.0" encoding="utf-8"?>
<ds:datastoreItem xmlns:ds="http://schemas.openxmlformats.org/officeDocument/2006/customXml" ds:itemID="{89128C3E-38AA-4EE5-9AD4-22243CBAF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2026-06-22T11:03:26Z</dcterms:created>
  <dcterms:modified xsi:type="dcterms:W3CDTF">2026-10-20T11:29:05Z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c04dc0-3755-4291-9447-c813dd2135c8_Enabled">
    <vt:lpwstr>true</vt:lpwstr>
  </property>
  <property fmtid="{D5CDD505-2E9C-101B-9397-08002B2CF9AE}" pid="3" name="MSIP_Label_78c04dc0-3755-4291-9447-c813dd2135c8_SetDate">
    <vt:lpwstr>2026-06-22T11:09:29Z</vt:lpwstr>
  </property>
  <property fmtid="{D5CDD505-2E9C-101B-9397-08002B2CF9AE}" pid="4" name="MSIP_Label_78c04dc0-3755-4291-9447-c813dd2135c8_Method">
    <vt:lpwstr>Privileged</vt:lpwstr>
  </property>
  <property fmtid="{D5CDD505-2E9C-101B-9397-08002B2CF9AE}" pid="5" name="MSIP_Label_78c04dc0-3755-4291-9447-c813dd2135c8_Name">
    <vt:lpwstr>Public</vt:lpwstr>
  </property>
  <property fmtid="{D5CDD505-2E9C-101B-9397-08002B2CF9AE}" pid="6" name="MSIP_Label_78c04dc0-3755-4291-9447-c813dd2135c8_SiteId">
    <vt:lpwstr>993ca615-6bd5-4d1c-8a7b-a1a99efc64b7</vt:lpwstr>
  </property>
  <property fmtid="{D5CDD505-2E9C-101B-9397-08002B2CF9AE}" pid="7" name="MSIP_Label_78c04dc0-3755-4291-9447-c813dd2135c8_ActionId">
    <vt:lpwstr>e45ecdec-783e-460a-8351-ca2673a0c756</vt:lpwstr>
  </property>
  <property fmtid="{D5CDD505-2E9C-101B-9397-08002B2CF9AE}" pid="8" name="MSIP_Label_78c04dc0-3755-4291-9447-c813dd2135c8_ContentBits">
    <vt:lpwstr>1</vt:lpwstr>
  </property>
  <property fmtid="{D5CDD505-2E9C-101B-9397-08002B2CF9AE}" pid="9" name="MSIP_Label_78c04dc0-3755-4291-9447-c813dd2135c8_Tag">
    <vt:lpwstr>10, 0, 1, 1</vt:lpwstr>
  </property>
  <property fmtid="{D5CDD505-2E9C-101B-9397-08002B2CF9AE}" pid="10" name="ContentTypeId">
    <vt:lpwstr>0x0101001EDD6D9D0D9C0247BB1867E9A13E2B69</vt:lpwstr>
  </property>
  <property fmtid="{D5CDD505-2E9C-101B-9397-08002B2CF9AE}" pid="11" name="MediaServiceImageTags">
    <vt:lpwstr/>
  </property>
</Properties>
</file>